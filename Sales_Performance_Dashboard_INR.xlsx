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udhakar/Downloads/"/>
    </mc:Choice>
  </mc:AlternateContent>
  <xr:revisionPtr revIDLastSave="0" documentId="13_ncr:1_{C88DFEDD-CAB2-0141-B15F-23B790B084E7}" xr6:coauthVersionLast="47" xr6:coauthVersionMax="47" xr10:uidLastSave="{00000000-0000-0000-0000-000000000000}"/>
  <bookViews>
    <workbookView xWindow="0" yWindow="0" windowWidth="28800" windowHeight="18000" tabRatio="500" firstSheet="2" activeTab="5" xr2:uid="{00000000-000D-0000-FFFF-FFFF00000000}"/>
  </bookViews>
  <sheets>
    <sheet name="Sales Data" sheetId="1" r:id="rId1"/>
    <sheet name="Monthly Summary" sheetId="2" r:id="rId2"/>
    <sheet name="Regional Summary" sheetId="3" r:id="rId3"/>
    <sheet name="Rep Leaderboard" sheetId="4" r:id="rId4"/>
    <sheet name="Product Analysis" sheetId="5" r:id="rId5"/>
    <sheet name="Executive Dashboard" sheetId="6" r:id="rId6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5" l="1"/>
  <c r="C7" i="5"/>
  <c r="E6" i="5"/>
  <c r="C6" i="5"/>
  <c r="E5" i="5"/>
  <c r="C5" i="5"/>
  <c r="E4" i="5"/>
  <c r="E8" i="5" s="1"/>
  <c r="C4" i="5"/>
  <c r="C8" i="5" s="1"/>
  <c r="F7" i="3"/>
  <c r="E7" i="3"/>
  <c r="C7" i="3"/>
  <c r="F6" i="3"/>
  <c r="E6" i="3"/>
  <c r="C6" i="3"/>
  <c r="F5" i="3"/>
  <c r="E5" i="3"/>
  <c r="C5" i="3"/>
  <c r="F4" i="3"/>
  <c r="F8" i="3" s="1"/>
  <c r="E4" i="3"/>
  <c r="C4" i="3"/>
  <c r="F16" i="2"/>
  <c r="E16" i="2"/>
  <c r="C16" i="2"/>
  <c r="F15" i="2"/>
  <c r="E15" i="2"/>
  <c r="C15" i="2"/>
  <c r="F14" i="2"/>
  <c r="E14" i="2"/>
  <c r="C14" i="2"/>
  <c r="F13" i="2"/>
  <c r="E13" i="2"/>
  <c r="C13" i="2"/>
  <c r="F12" i="2"/>
  <c r="E12" i="2"/>
  <c r="C12" i="2"/>
  <c r="F11" i="2"/>
  <c r="E11" i="2"/>
  <c r="C11" i="2"/>
  <c r="F10" i="2"/>
  <c r="E10" i="2"/>
  <c r="C10" i="2"/>
  <c r="F9" i="2"/>
  <c r="E9" i="2"/>
  <c r="C9" i="2"/>
  <c r="F8" i="2"/>
  <c r="E8" i="2"/>
  <c r="C8" i="2"/>
  <c r="F7" i="2"/>
  <c r="E7" i="2"/>
  <c r="C7" i="2"/>
  <c r="F6" i="2"/>
  <c r="E6" i="2"/>
  <c r="C6" i="2"/>
  <c r="H5" i="2"/>
  <c r="F5" i="2"/>
  <c r="E5" i="2"/>
  <c r="C5" i="2"/>
  <c r="C17" i="2" s="1"/>
  <c r="K385" i="1"/>
  <c r="G385" i="1"/>
  <c r="I385" i="1" s="1"/>
  <c r="I384" i="1"/>
  <c r="G384" i="1"/>
  <c r="K384" i="1" s="1"/>
  <c r="K383" i="1"/>
  <c r="I383" i="1"/>
  <c r="G383" i="1"/>
  <c r="K382" i="1"/>
  <c r="I382" i="1"/>
  <c r="G382" i="1"/>
  <c r="G381" i="1"/>
  <c r="K381" i="1" s="1"/>
  <c r="G380" i="1"/>
  <c r="I380" i="1" s="1"/>
  <c r="G379" i="1"/>
  <c r="I379" i="1" s="1"/>
  <c r="K378" i="1"/>
  <c r="I378" i="1"/>
  <c r="G378" i="1"/>
  <c r="G377" i="1"/>
  <c r="G376" i="1"/>
  <c r="K376" i="1" s="1"/>
  <c r="K375" i="1"/>
  <c r="I375" i="1"/>
  <c r="G375" i="1"/>
  <c r="K374" i="1"/>
  <c r="I374" i="1"/>
  <c r="G374" i="1"/>
  <c r="G373" i="1"/>
  <c r="K373" i="1" s="1"/>
  <c r="K372" i="1"/>
  <c r="I372" i="1"/>
  <c r="G372" i="1"/>
  <c r="G371" i="1"/>
  <c r="K370" i="1"/>
  <c r="G370" i="1"/>
  <c r="I370" i="1" s="1"/>
  <c r="K369" i="1"/>
  <c r="I369" i="1"/>
  <c r="G369" i="1"/>
  <c r="G368" i="1"/>
  <c r="I367" i="1"/>
  <c r="G367" i="1"/>
  <c r="K367" i="1" s="1"/>
  <c r="K366" i="1"/>
  <c r="I366" i="1"/>
  <c r="G366" i="1"/>
  <c r="I365" i="1"/>
  <c r="G365" i="1"/>
  <c r="K365" i="1" s="1"/>
  <c r="G364" i="1"/>
  <c r="K364" i="1" s="1"/>
  <c r="K363" i="1"/>
  <c r="G363" i="1"/>
  <c r="I363" i="1" s="1"/>
  <c r="I362" i="1"/>
  <c r="G362" i="1"/>
  <c r="K362" i="1" s="1"/>
  <c r="G361" i="1"/>
  <c r="I360" i="1"/>
  <c r="G360" i="1"/>
  <c r="K360" i="1" s="1"/>
  <c r="I359" i="1"/>
  <c r="G359" i="1"/>
  <c r="K359" i="1" s="1"/>
  <c r="K358" i="1"/>
  <c r="I358" i="1"/>
  <c r="G358" i="1"/>
  <c r="K357" i="1"/>
  <c r="I357" i="1"/>
  <c r="G357" i="1"/>
  <c r="K356" i="1"/>
  <c r="I356" i="1"/>
  <c r="G356" i="1"/>
  <c r="G355" i="1"/>
  <c r="I355" i="1" s="1"/>
  <c r="K354" i="1"/>
  <c r="I354" i="1"/>
  <c r="G354" i="1"/>
  <c r="K353" i="1"/>
  <c r="I353" i="1"/>
  <c r="G353" i="1"/>
  <c r="G352" i="1"/>
  <c r="K352" i="1" s="1"/>
  <c r="K351" i="1"/>
  <c r="I351" i="1"/>
  <c r="G351" i="1"/>
  <c r="K350" i="1"/>
  <c r="I350" i="1"/>
  <c r="G350" i="1"/>
  <c r="G349" i="1"/>
  <c r="G348" i="1"/>
  <c r="I348" i="1" s="1"/>
  <c r="G347" i="1"/>
  <c r="I347" i="1" s="1"/>
  <c r="G346" i="1"/>
  <c r="K346" i="1" s="1"/>
  <c r="G345" i="1"/>
  <c r="I345" i="1" s="1"/>
  <c r="I344" i="1"/>
  <c r="G344" i="1"/>
  <c r="K344" i="1" s="1"/>
  <c r="K343" i="1"/>
  <c r="I343" i="1"/>
  <c r="G343" i="1"/>
  <c r="K342" i="1"/>
  <c r="I342" i="1"/>
  <c r="G342" i="1"/>
  <c r="K341" i="1"/>
  <c r="G341" i="1"/>
  <c r="I341" i="1" s="1"/>
  <c r="G340" i="1"/>
  <c r="K340" i="1" s="1"/>
  <c r="G339" i="1"/>
  <c r="K338" i="1"/>
  <c r="G338" i="1"/>
  <c r="I338" i="1" s="1"/>
  <c r="K337" i="1"/>
  <c r="I337" i="1"/>
  <c r="G337" i="1"/>
  <c r="G336" i="1"/>
  <c r="K335" i="1"/>
  <c r="I335" i="1"/>
  <c r="G335" i="1"/>
  <c r="K334" i="1"/>
  <c r="I334" i="1"/>
  <c r="G334" i="1"/>
  <c r="G333" i="1"/>
  <c r="K333" i="1" s="1"/>
  <c r="I332" i="1"/>
  <c r="G332" i="1"/>
  <c r="K332" i="1" s="1"/>
  <c r="G331" i="1"/>
  <c r="I331" i="1" s="1"/>
  <c r="I330" i="1"/>
  <c r="G330" i="1"/>
  <c r="K330" i="1" s="1"/>
  <c r="G329" i="1"/>
  <c r="K329" i="1" s="1"/>
  <c r="I328" i="1"/>
  <c r="G328" i="1"/>
  <c r="K328" i="1" s="1"/>
  <c r="I327" i="1"/>
  <c r="G327" i="1"/>
  <c r="K327" i="1" s="1"/>
  <c r="K326" i="1"/>
  <c r="I326" i="1"/>
  <c r="G326" i="1"/>
  <c r="K325" i="1"/>
  <c r="I325" i="1"/>
  <c r="G325" i="1"/>
  <c r="K324" i="1"/>
  <c r="I324" i="1"/>
  <c r="G324" i="1"/>
  <c r="G323" i="1"/>
  <c r="K322" i="1"/>
  <c r="I322" i="1"/>
  <c r="G322" i="1"/>
  <c r="K321" i="1"/>
  <c r="I321" i="1"/>
  <c r="G321" i="1"/>
  <c r="G320" i="1"/>
  <c r="K319" i="1"/>
  <c r="I319" i="1"/>
  <c r="G319" i="1"/>
  <c r="K318" i="1"/>
  <c r="I318" i="1"/>
  <c r="G318" i="1"/>
  <c r="I317" i="1"/>
  <c r="G317" i="1"/>
  <c r="K317" i="1" s="1"/>
  <c r="G316" i="1"/>
  <c r="I316" i="1" s="1"/>
  <c r="K315" i="1"/>
  <c r="G315" i="1"/>
  <c r="I315" i="1" s="1"/>
  <c r="G314" i="1"/>
  <c r="G313" i="1"/>
  <c r="I313" i="1" s="1"/>
  <c r="I312" i="1"/>
  <c r="G312" i="1"/>
  <c r="K312" i="1" s="1"/>
  <c r="G311" i="1"/>
  <c r="K311" i="1" s="1"/>
  <c r="K310" i="1"/>
  <c r="I310" i="1"/>
  <c r="G310" i="1"/>
  <c r="K309" i="1"/>
  <c r="I309" i="1"/>
  <c r="G309" i="1"/>
  <c r="G308" i="1"/>
  <c r="G307" i="1"/>
  <c r="I306" i="1"/>
  <c r="G306" i="1"/>
  <c r="K306" i="1" s="1"/>
  <c r="G305" i="1"/>
  <c r="K305" i="1" s="1"/>
  <c r="G304" i="1"/>
  <c r="K303" i="1"/>
  <c r="G303" i="1"/>
  <c r="I303" i="1" s="1"/>
  <c r="K302" i="1"/>
  <c r="I302" i="1"/>
  <c r="G302" i="1"/>
  <c r="G301" i="1"/>
  <c r="K300" i="1"/>
  <c r="I300" i="1"/>
  <c r="G300" i="1"/>
  <c r="K299" i="1"/>
  <c r="G299" i="1"/>
  <c r="I299" i="1" s="1"/>
  <c r="G298" i="1"/>
  <c r="K298" i="1" s="1"/>
  <c r="K297" i="1"/>
  <c r="G297" i="1"/>
  <c r="I297" i="1" s="1"/>
  <c r="I296" i="1"/>
  <c r="G296" i="1"/>
  <c r="K296" i="1" s="1"/>
  <c r="I295" i="1"/>
  <c r="G295" i="1"/>
  <c r="K295" i="1" s="1"/>
  <c r="K294" i="1"/>
  <c r="I294" i="1"/>
  <c r="G294" i="1"/>
  <c r="K293" i="1"/>
  <c r="I293" i="1"/>
  <c r="G293" i="1"/>
  <c r="G292" i="1"/>
  <c r="K292" i="1" s="1"/>
  <c r="G291" i="1"/>
  <c r="I291" i="1" s="1"/>
  <c r="K290" i="1"/>
  <c r="I290" i="1"/>
  <c r="G290" i="1"/>
  <c r="G289" i="1"/>
  <c r="K289" i="1" s="1"/>
  <c r="G288" i="1"/>
  <c r="K288" i="1" s="1"/>
  <c r="K287" i="1"/>
  <c r="I287" i="1"/>
  <c r="G287" i="1"/>
  <c r="K286" i="1"/>
  <c r="I286" i="1"/>
  <c r="G286" i="1"/>
  <c r="G285" i="1"/>
  <c r="K285" i="1" s="1"/>
  <c r="K284" i="1"/>
  <c r="G284" i="1"/>
  <c r="I284" i="1" s="1"/>
  <c r="K283" i="1"/>
  <c r="G283" i="1"/>
  <c r="I283" i="1" s="1"/>
  <c r="I282" i="1"/>
  <c r="G282" i="1"/>
  <c r="K282" i="1" s="1"/>
  <c r="G281" i="1"/>
  <c r="I281" i="1" s="1"/>
  <c r="I280" i="1"/>
  <c r="G280" i="1"/>
  <c r="K280" i="1" s="1"/>
  <c r="G279" i="1"/>
  <c r="K278" i="1"/>
  <c r="I278" i="1"/>
  <c r="G278" i="1"/>
  <c r="K277" i="1"/>
  <c r="I277" i="1"/>
  <c r="G277" i="1"/>
  <c r="I276" i="1"/>
  <c r="G276" i="1"/>
  <c r="K276" i="1" s="1"/>
  <c r="G275" i="1"/>
  <c r="K274" i="1"/>
  <c r="I274" i="1"/>
  <c r="G274" i="1"/>
  <c r="G273" i="1"/>
  <c r="G272" i="1"/>
  <c r="K271" i="1"/>
  <c r="G271" i="1"/>
  <c r="I271" i="1" s="1"/>
  <c r="K270" i="1"/>
  <c r="I270" i="1"/>
  <c r="G270" i="1"/>
  <c r="G269" i="1"/>
  <c r="K269" i="1" s="1"/>
  <c r="K268" i="1"/>
  <c r="G268" i="1"/>
  <c r="I268" i="1" s="1"/>
  <c r="K267" i="1"/>
  <c r="G267" i="1"/>
  <c r="I267" i="1" s="1"/>
  <c r="G266" i="1"/>
  <c r="K266" i="1" s="1"/>
  <c r="K265" i="1"/>
  <c r="I265" i="1"/>
  <c r="G265" i="1"/>
  <c r="I264" i="1"/>
  <c r="G264" i="1"/>
  <c r="K264" i="1" s="1"/>
  <c r="G263" i="1"/>
  <c r="K262" i="1"/>
  <c r="I262" i="1"/>
  <c r="G262" i="1"/>
  <c r="K261" i="1"/>
  <c r="I261" i="1"/>
  <c r="G261" i="1"/>
  <c r="I260" i="1"/>
  <c r="G260" i="1"/>
  <c r="K260" i="1" s="1"/>
  <c r="G259" i="1"/>
  <c r="I259" i="1" s="1"/>
  <c r="K258" i="1"/>
  <c r="I258" i="1"/>
  <c r="G258" i="1"/>
  <c r="I257" i="1"/>
  <c r="G257" i="1"/>
  <c r="K257" i="1" s="1"/>
  <c r="G256" i="1"/>
  <c r="K256" i="1" s="1"/>
  <c r="K255" i="1"/>
  <c r="I255" i="1"/>
  <c r="G255" i="1"/>
  <c r="K254" i="1"/>
  <c r="I254" i="1"/>
  <c r="G254" i="1"/>
  <c r="G253" i="1"/>
  <c r="K253" i="1" s="1"/>
  <c r="K252" i="1"/>
  <c r="G252" i="1"/>
  <c r="I252" i="1" s="1"/>
  <c r="G251" i="1"/>
  <c r="K250" i="1"/>
  <c r="I250" i="1"/>
  <c r="G250" i="1"/>
  <c r="G249" i="1"/>
  <c r="I249" i="1" s="1"/>
  <c r="I248" i="1"/>
  <c r="G248" i="1"/>
  <c r="K248" i="1" s="1"/>
  <c r="I247" i="1"/>
  <c r="G247" i="1"/>
  <c r="K247" i="1" s="1"/>
  <c r="K246" i="1"/>
  <c r="I246" i="1"/>
  <c r="G246" i="1"/>
  <c r="G245" i="1"/>
  <c r="K244" i="1"/>
  <c r="G244" i="1"/>
  <c r="I244" i="1" s="1"/>
  <c r="G243" i="1"/>
  <c r="K242" i="1"/>
  <c r="I242" i="1"/>
  <c r="G242" i="1"/>
  <c r="K241" i="1"/>
  <c r="I241" i="1"/>
  <c r="G241" i="1"/>
  <c r="G240" i="1"/>
  <c r="K239" i="1"/>
  <c r="I239" i="1"/>
  <c r="G239" i="1"/>
  <c r="K238" i="1"/>
  <c r="I238" i="1"/>
  <c r="G238" i="1"/>
  <c r="G237" i="1"/>
  <c r="K237" i="1" s="1"/>
  <c r="K236" i="1"/>
  <c r="I236" i="1"/>
  <c r="G236" i="1"/>
  <c r="G235" i="1"/>
  <c r="I234" i="1"/>
  <c r="G234" i="1"/>
  <c r="K234" i="1" s="1"/>
  <c r="I233" i="1"/>
  <c r="G233" i="1"/>
  <c r="K233" i="1" s="1"/>
  <c r="I232" i="1"/>
  <c r="G232" i="1"/>
  <c r="K232" i="1" s="1"/>
  <c r="G231" i="1"/>
  <c r="K231" i="1" s="1"/>
  <c r="K230" i="1"/>
  <c r="I230" i="1"/>
  <c r="G230" i="1"/>
  <c r="K229" i="1"/>
  <c r="I229" i="1"/>
  <c r="G229" i="1"/>
  <c r="I228" i="1"/>
  <c r="G228" i="1"/>
  <c r="K228" i="1" s="1"/>
  <c r="G227" i="1"/>
  <c r="I227" i="1" s="1"/>
  <c r="K226" i="1"/>
  <c r="I226" i="1"/>
  <c r="G226" i="1"/>
  <c r="I225" i="1"/>
  <c r="G225" i="1"/>
  <c r="K225" i="1" s="1"/>
  <c r="G224" i="1"/>
  <c r="K224" i="1" s="1"/>
  <c r="K223" i="1"/>
  <c r="I223" i="1"/>
  <c r="G223" i="1"/>
  <c r="K222" i="1"/>
  <c r="I222" i="1"/>
  <c r="G222" i="1"/>
  <c r="I221" i="1"/>
  <c r="G221" i="1"/>
  <c r="K221" i="1" s="1"/>
  <c r="K220" i="1"/>
  <c r="G220" i="1"/>
  <c r="I220" i="1" s="1"/>
  <c r="G219" i="1"/>
  <c r="I219" i="1" s="1"/>
  <c r="K218" i="1"/>
  <c r="G218" i="1"/>
  <c r="I218" i="1" s="1"/>
  <c r="K217" i="1"/>
  <c r="G217" i="1"/>
  <c r="I217" i="1" s="1"/>
  <c r="G216" i="1"/>
  <c r="I215" i="1"/>
  <c r="G215" i="1"/>
  <c r="K215" i="1" s="1"/>
  <c r="K214" i="1"/>
  <c r="I214" i="1"/>
  <c r="G214" i="1"/>
  <c r="G213" i="1"/>
  <c r="K213" i="1" s="1"/>
  <c r="I212" i="1"/>
  <c r="G212" i="1"/>
  <c r="K212" i="1" s="1"/>
  <c r="G211" i="1"/>
  <c r="G210" i="1"/>
  <c r="K209" i="1"/>
  <c r="G209" i="1"/>
  <c r="I209" i="1" s="1"/>
  <c r="G208" i="1"/>
  <c r="K207" i="1"/>
  <c r="I207" i="1"/>
  <c r="G207" i="1"/>
  <c r="K206" i="1"/>
  <c r="I206" i="1"/>
  <c r="G206" i="1"/>
  <c r="G205" i="1"/>
  <c r="K205" i="1" s="1"/>
  <c r="K204" i="1"/>
  <c r="I204" i="1"/>
  <c r="G204" i="1"/>
  <c r="K203" i="1"/>
  <c r="G203" i="1"/>
  <c r="I203" i="1" s="1"/>
  <c r="G202" i="1"/>
  <c r="K202" i="1" s="1"/>
  <c r="K201" i="1"/>
  <c r="I201" i="1"/>
  <c r="G201" i="1"/>
  <c r="G200" i="1"/>
  <c r="I199" i="1"/>
  <c r="G199" i="1"/>
  <c r="K199" i="1" s="1"/>
  <c r="K198" i="1"/>
  <c r="I198" i="1"/>
  <c r="G198" i="1"/>
  <c r="K197" i="1"/>
  <c r="I197" i="1"/>
  <c r="G197" i="1"/>
  <c r="K196" i="1"/>
  <c r="I196" i="1"/>
  <c r="G196" i="1"/>
  <c r="G195" i="1"/>
  <c r="I195" i="1" s="1"/>
  <c r="K194" i="1"/>
  <c r="I194" i="1"/>
  <c r="G194" i="1"/>
  <c r="K193" i="1"/>
  <c r="I193" i="1"/>
  <c r="G193" i="1"/>
  <c r="G192" i="1"/>
  <c r="K192" i="1" s="1"/>
  <c r="K191" i="1"/>
  <c r="I191" i="1"/>
  <c r="G191" i="1"/>
  <c r="K190" i="1"/>
  <c r="I190" i="1"/>
  <c r="G190" i="1"/>
  <c r="K189" i="1"/>
  <c r="I189" i="1"/>
  <c r="G189" i="1"/>
  <c r="G188" i="1"/>
  <c r="G187" i="1"/>
  <c r="I187" i="1" s="1"/>
  <c r="K186" i="1"/>
  <c r="G186" i="1"/>
  <c r="I186" i="1" s="1"/>
  <c r="K185" i="1"/>
  <c r="G185" i="1"/>
  <c r="I185" i="1" s="1"/>
  <c r="I184" i="1"/>
  <c r="G184" i="1"/>
  <c r="K184" i="1" s="1"/>
  <c r="K183" i="1"/>
  <c r="I183" i="1"/>
  <c r="G183" i="1"/>
  <c r="K182" i="1"/>
  <c r="I182" i="1"/>
  <c r="G182" i="1"/>
  <c r="K181" i="1"/>
  <c r="G181" i="1"/>
  <c r="I181" i="1" s="1"/>
  <c r="K180" i="1"/>
  <c r="G180" i="1"/>
  <c r="I180" i="1" s="1"/>
  <c r="G179" i="1"/>
  <c r="I178" i="1"/>
  <c r="G178" i="1"/>
  <c r="K178" i="1" s="1"/>
  <c r="I177" i="1"/>
  <c r="G177" i="1"/>
  <c r="K177" i="1" s="1"/>
  <c r="G176" i="1"/>
  <c r="G175" i="1"/>
  <c r="K174" i="1"/>
  <c r="I174" i="1"/>
  <c r="G174" i="1"/>
  <c r="G173" i="1"/>
  <c r="K173" i="1" s="1"/>
  <c r="G172" i="1"/>
  <c r="G171" i="1"/>
  <c r="I171" i="1" s="1"/>
  <c r="G170" i="1"/>
  <c r="K170" i="1" s="1"/>
  <c r="K169" i="1"/>
  <c r="I169" i="1"/>
  <c r="G169" i="1"/>
  <c r="I168" i="1"/>
  <c r="G168" i="1"/>
  <c r="K168" i="1" s="1"/>
  <c r="G167" i="1"/>
  <c r="K167" i="1" s="1"/>
  <c r="K166" i="1"/>
  <c r="I166" i="1"/>
  <c r="G166" i="1"/>
  <c r="K165" i="1"/>
  <c r="I165" i="1"/>
  <c r="G165" i="1"/>
  <c r="G164" i="1"/>
  <c r="K164" i="1" s="1"/>
  <c r="K163" i="1"/>
  <c r="G163" i="1"/>
  <c r="I163" i="1" s="1"/>
  <c r="K162" i="1"/>
  <c r="I162" i="1"/>
  <c r="G162" i="1"/>
  <c r="G161" i="1"/>
  <c r="K161" i="1" s="1"/>
  <c r="I160" i="1"/>
  <c r="G160" i="1"/>
  <c r="K160" i="1" s="1"/>
  <c r="K159" i="1"/>
  <c r="I159" i="1"/>
  <c r="G159" i="1"/>
  <c r="K158" i="1"/>
  <c r="I158" i="1"/>
  <c r="G158" i="1"/>
  <c r="K157" i="1"/>
  <c r="I157" i="1"/>
  <c r="G157" i="1"/>
  <c r="K156" i="1"/>
  <c r="G156" i="1"/>
  <c r="I156" i="1" s="1"/>
  <c r="G155" i="1"/>
  <c r="I155" i="1" s="1"/>
  <c r="K154" i="1"/>
  <c r="I154" i="1"/>
  <c r="G154" i="1"/>
  <c r="G153" i="1"/>
  <c r="I152" i="1"/>
  <c r="G152" i="1"/>
  <c r="K152" i="1" s="1"/>
  <c r="G151" i="1"/>
  <c r="K151" i="1" s="1"/>
  <c r="K150" i="1"/>
  <c r="I150" i="1"/>
  <c r="G150" i="1"/>
  <c r="K149" i="1"/>
  <c r="G149" i="1"/>
  <c r="I149" i="1" s="1"/>
  <c r="K148" i="1"/>
  <c r="I148" i="1"/>
  <c r="G148" i="1"/>
  <c r="G147" i="1"/>
  <c r="K146" i="1"/>
  <c r="I146" i="1"/>
  <c r="G146" i="1"/>
  <c r="G145" i="1"/>
  <c r="K145" i="1" s="1"/>
  <c r="G144" i="1"/>
  <c r="G143" i="1"/>
  <c r="K143" i="1" s="1"/>
  <c r="K142" i="1"/>
  <c r="I142" i="1"/>
  <c r="G142" i="1"/>
  <c r="I141" i="1"/>
  <c r="G141" i="1"/>
  <c r="K141" i="1" s="1"/>
  <c r="I140" i="1"/>
  <c r="G140" i="1"/>
  <c r="K140" i="1" s="1"/>
  <c r="K139" i="1"/>
  <c r="G139" i="1"/>
  <c r="I139" i="1" s="1"/>
  <c r="G138" i="1"/>
  <c r="K138" i="1" s="1"/>
  <c r="G137" i="1"/>
  <c r="I136" i="1"/>
  <c r="G136" i="1"/>
  <c r="K136" i="1" s="1"/>
  <c r="G135" i="1"/>
  <c r="K135" i="1" s="1"/>
  <c r="K134" i="1"/>
  <c r="I134" i="1"/>
  <c r="G134" i="1"/>
  <c r="K133" i="1"/>
  <c r="I133" i="1"/>
  <c r="G133" i="1"/>
  <c r="I132" i="1"/>
  <c r="G132" i="1"/>
  <c r="K132" i="1" s="1"/>
  <c r="K131" i="1"/>
  <c r="G131" i="1"/>
  <c r="I131" i="1" s="1"/>
  <c r="K130" i="1"/>
  <c r="I130" i="1"/>
  <c r="G130" i="1"/>
  <c r="I129" i="1"/>
  <c r="G129" i="1"/>
  <c r="K129" i="1" s="1"/>
  <c r="I128" i="1"/>
  <c r="G128" i="1"/>
  <c r="K128" i="1" s="1"/>
  <c r="K127" i="1"/>
  <c r="I127" i="1"/>
  <c r="G127" i="1"/>
  <c r="K126" i="1"/>
  <c r="I126" i="1"/>
  <c r="G126" i="1"/>
  <c r="G125" i="1"/>
  <c r="G124" i="1"/>
  <c r="I124" i="1" s="1"/>
  <c r="K123" i="1"/>
  <c r="G123" i="1"/>
  <c r="I123" i="1" s="1"/>
  <c r="K122" i="1"/>
  <c r="I122" i="1"/>
  <c r="G122" i="1"/>
  <c r="G121" i="1"/>
  <c r="I121" i="1" s="1"/>
  <c r="G120" i="1"/>
  <c r="K120" i="1" s="1"/>
  <c r="K119" i="1"/>
  <c r="I119" i="1"/>
  <c r="G119" i="1"/>
  <c r="K118" i="1"/>
  <c r="I118" i="1"/>
  <c r="G118" i="1"/>
  <c r="I117" i="1"/>
  <c r="G117" i="1"/>
  <c r="K117" i="1" s="1"/>
  <c r="K116" i="1"/>
  <c r="I116" i="1"/>
  <c r="G116" i="1"/>
  <c r="G115" i="1"/>
  <c r="G114" i="1"/>
  <c r="K114" i="1" s="1"/>
  <c r="K113" i="1"/>
  <c r="I113" i="1"/>
  <c r="G113" i="1"/>
  <c r="G112" i="1"/>
  <c r="G111" i="1"/>
  <c r="K111" i="1" s="1"/>
  <c r="K110" i="1"/>
  <c r="I110" i="1"/>
  <c r="G110" i="1"/>
  <c r="I109" i="1"/>
  <c r="G109" i="1"/>
  <c r="K109" i="1" s="1"/>
  <c r="G108" i="1"/>
  <c r="K108" i="1" s="1"/>
  <c r="K107" i="1"/>
  <c r="I107" i="1"/>
  <c r="G107" i="1"/>
  <c r="G106" i="1"/>
  <c r="K105" i="1"/>
  <c r="G105" i="1"/>
  <c r="I105" i="1" s="1"/>
  <c r="G104" i="1"/>
  <c r="I104" i="1" s="1"/>
  <c r="G103" i="1"/>
  <c r="I102" i="1"/>
  <c r="G102" i="1"/>
  <c r="K102" i="1" s="1"/>
  <c r="G101" i="1"/>
  <c r="K101" i="1" s="1"/>
  <c r="G100" i="1"/>
  <c r="K99" i="1"/>
  <c r="I99" i="1"/>
  <c r="G99" i="1"/>
  <c r="K98" i="1"/>
  <c r="I98" i="1"/>
  <c r="G98" i="1"/>
  <c r="G97" i="1"/>
  <c r="K97" i="1" s="1"/>
  <c r="K96" i="1"/>
  <c r="G96" i="1"/>
  <c r="I96" i="1" s="1"/>
  <c r="K95" i="1"/>
  <c r="I95" i="1"/>
  <c r="G95" i="1"/>
  <c r="G94" i="1"/>
  <c r="K94" i="1" s="1"/>
  <c r="G93" i="1"/>
  <c r="K93" i="1" s="1"/>
  <c r="K92" i="1"/>
  <c r="I92" i="1"/>
  <c r="G92" i="1"/>
  <c r="K91" i="1"/>
  <c r="I91" i="1"/>
  <c r="G91" i="1"/>
  <c r="I90" i="1"/>
  <c r="G90" i="1"/>
  <c r="K90" i="1" s="1"/>
  <c r="K89" i="1"/>
  <c r="I89" i="1"/>
  <c r="G89" i="1"/>
  <c r="G88" i="1"/>
  <c r="I88" i="1" s="1"/>
  <c r="I87" i="1"/>
  <c r="G87" i="1"/>
  <c r="K87" i="1" s="1"/>
  <c r="K86" i="1"/>
  <c r="I86" i="1"/>
  <c r="G86" i="1"/>
  <c r="G85" i="1"/>
  <c r="K85" i="1" s="1"/>
  <c r="I84" i="1"/>
  <c r="G84" i="1"/>
  <c r="K84" i="1" s="1"/>
  <c r="K83" i="1"/>
  <c r="I83" i="1"/>
  <c r="G83" i="1"/>
  <c r="G82" i="1"/>
  <c r="K82" i="1" s="1"/>
  <c r="K81" i="1"/>
  <c r="I81" i="1"/>
  <c r="G81" i="1"/>
  <c r="K80" i="1"/>
  <c r="G80" i="1"/>
  <c r="I80" i="1" s="1"/>
  <c r="G79" i="1"/>
  <c r="K79" i="1" s="1"/>
  <c r="K78" i="1"/>
  <c r="I78" i="1"/>
  <c r="G78" i="1"/>
  <c r="I77" i="1"/>
  <c r="G77" i="1"/>
  <c r="K77" i="1" s="1"/>
  <c r="G76" i="1"/>
  <c r="K76" i="1" s="1"/>
  <c r="K75" i="1"/>
  <c r="I75" i="1"/>
  <c r="G75" i="1"/>
  <c r="G74" i="1"/>
  <c r="K73" i="1"/>
  <c r="G73" i="1"/>
  <c r="I73" i="1" s="1"/>
  <c r="G72" i="1"/>
  <c r="I72" i="1" s="1"/>
  <c r="G71" i="1"/>
  <c r="I70" i="1"/>
  <c r="G70" i="1"/>
  <c r="K70" i="1" s="1"/>
  <c r="G69" i="1"/>
  <c r="K69" i="1" s="1"/>
  <c r="G68" i="1"/>
  <c r="K67" i="1"/>
  <c r="I67" i="1"/>
  <c r="G67" i="1"/>
  <c r="K66" i="1"/>
  <c r="I66" i="1"/>
  <c r="G66" i="1"/>
  <c r="G65" i="1"/>
  <c r="K65" i="1" s="1"/>
  <c r="K64" i="1"/>
  <c r="G64" i="1"/>
  <c r="I64" i="1" s="1"/>
  <c r="K63" i="1"/>
  <c r="I63" i="1"/>
  <c r="G63" i="1"/>
  <c r="G62" i="1"/>
  <c r="K62" i="1" s="1"/>
  <c r="G61" i="1"/>
  <c r="K61" i="1" s="1"/>
  <c r="K60" i="1"/>
  <c r="I60" i="1"/>
  <c r="G60" i="1"/>
  <c r="K59" i="1"/>
  <c r="I59" i="1"/>
  <c r="G59" i="1"/>
  <c r="I58" i="1"/>
  <c r="G58" i="1"/>
  <c r="K58" i="1" s="1"/>
  <c r="K57" i="1"/>
  <c r="I57" i="1"/>
  <c r="G57" i="1"/>
  <c r="G56" i="1"/>
  <c r="I56" i="1" s="1"/>
  <c r="I55" i="1"/>
  <c r="G55" i="1"/>
  <c r="K55" i="1" s="1"/>
  <c r="K54" i="1"/>
  <c r="I54" i="1"/>
  <c r="G54" i="1"/>
  <c r="G53" i="1"/>
  <c r="K53" i="1" s="1"/>
  <c r="I52" i="1"/>
  <c r="G52" i="1"/>
  <c r="K52" i="1" s="1"/>
  <c r="K51" i="1"/>
  <c r="I51" i="1"/>
  <c r="G51" i="1"/>
  <c r="G50" i="1"/>
  <c r="K50" i="1" s="1"/>
  <c r="K49" i="1"/>
  <c r="I49" i="1"/>
  <c r="G49" i="1"/>
  <c r="K48" i="1"/>
  <c r="G48" i="1"/>
  <c r="I48" i="1" s="1"/>
  <c r="G47" i="1"/>
  <c r="K47" i="1" s="1"/>
  <c r="K46" i="1"/>
  <c r="I46" i="1"/>
  <c r="G46" i="1"/>
  <c r="G45" i="1"/>
  <c r="K44" i="1"/>
  <c r="G44" i="1"/>
  <c r="I44" i="1" s="1"/>
  <c r="K43" i="1"/>
  <c r="I43" i="1"/>
  <c r="G43" i="1"/>
  <c r="G42" i="1"/>
  <c r="K42" i="1" s="1"/>
  <c r="K41" i="1"/>
  <c r="G41" i="1"/>
  <c r="I41" i="1" s="1"/>
  <c r="K40" i="1"/>
  <c r="I40" i="1"/>
  <c r="G40" i="1"/>
  <c r="I39" i="1"/>
  <c r="G39" i="1"/>
  <c r="K39" i="1" s="1"/>
  <c r="G38" i="1"/>
  <c r="K38" i="1" s="1"/>
  <c r="G37" i="1"/>
  <c r="K36" i="1"/>
  <c r="G36" i="1"/>
  <c r="I36" i="1" s="1"/>
  <c r="K35" i="1"/>
  <c r="I35" i="1"/>
  <c r="G35" i="1"/>
  <c r="G34" i="1"/>
  <c r="K34" i="1" s="1"/>
  <c r="K33" i="1"/>
  <c r="G33" i="1"/>
  <c r="I33" i="1" s="1"/>
  <c r="K32" i="1"/>
  <c r="I32" i="1"/>
  <c r="G32" i="1"/>
  <c r="I31" i="1"/>
  <c r="G31" i="1"/>
  <c r="K31" i="1" s="1"/>
  <c r="I30" i="1"/>
  <c r="G30" i="1"/>
  <c r="K30" i="1" s="1"/>
  <c r="G29" i="1"/>
  <c r="G28" i="1"/>
  <c r="K28" i="1" s="1"/>
  <c r="K27" i="1"/>
  <c r="I27" i="1"/>
  <c r="G27" i="1"/>
  <c r="I26" i="1"/>
  <c r="G26" i="1"/>
  <c r="K26" i="1" s="1"/>
  <c r="G25" i="1"/>
  <c r="K25" i="1" s="1"/>
  <c r="K24" i="1"/>
  <c r="I24" i="1"/>
  <c r="G24" i="1"/>
  <c r="K23" i="1"/>
  <c r="G23" i="1"/>
  <c r="I23" i="1" s="1"/>
  <c r="I22" i="1"/>
  <c r="G22" i="1"/>
  <c r="K22" i="1" s="1"/>
  <c r="G21" i="1"/>
  <c r="K20" i="1"/>
  <c r="I20" i="1"/>
  <c r="G20" i="1"/>
  <c r="K19" i="1"/>
  <c r="I19" i="1"/>
  <c r="G19" i="1"/>
  <c r="I18" i="1"/>
  <c r="G18" i="1"/>
  <c r="K18" i="1" s="1"/>
  <c r="K17" i="1"/>
  <c r="I17" i="1"/>
  <c r="G17" i="1"/>
  <c r="K16" i="1"/>
  <c r="I16" i="1"/>
  <c r="G16" i="1"/>
  <c r="K15" i="1"/>
  <c r="G15" i="1"/>
  <c r="I15" i="1" s="1"/>
  <c r="G14" i="1"/>
  <c r="K14" i="1" s="1"/>
  <c r="G13" i="1"/>
  <c r="K12" i="1"/>
  <c r="I12" i="1"/>
  <c r="G12" i="1"/>
  <c r="K11" i="1"/>
  <c r="I11" i="1"/>
  <c r="G11" i="1"/>
  <c r="G10" i="1"/>
  <c r="K10" i="1" s="1"/>
  <c r="K9" i="1"/>
  <c r="I9" i="1"/>
  <c r="G9" i="1"/>
  <c r="K8" i="1"/>
  <c r="I8" i="1"/>
  <c r="G8" i="1"/>
  <c r="G7" i="1"/>
  <c r="K7" i="1" s="1"/>
  <c r="K6" i="1"/>
  <c r="G6" i="1"/>
  <c r="I6" i="1" s="1"/>
  <c r="G5" i="1"/>
  <c r="G4" i="1"/>
  <c r="K4" i="1" s="1"/>
  <c r="K3" i="1"/>
  <c r="I3" i="1"/>
  <c r="G3" i="1"/>
  <c r="I2" i="1"/>
  <c r="G2" i="1"/>
  <c r="C21" i="6"/>
  <c r="C20" i="6"/>
  <c r="C19" i="6"/>
  <c r="C18" i="6"/>
  <c r="K71" i="1" l="1"/>
  <c r="I71" i="1"/>
  <c r="K103" i="1"/>
  <c r="I103" i="1"/>
  <c r="I188" i="1"/>
  <c r="K188" i="1"/>
  <c r="K314" i="1"/>
  <c r="I314" i="1"/>
  <c r="I7" i="1"/>
  <c r="K13" i="1"/>
  <c r="I13" i="1"/>
  <c r="I28" i="1"/>
  <c r="I34" i="1"/>
  <c r="K68" i="1"/>
  <c r="I68" i="1"/>
  <c r="K72" i="1"/>
  <c r="I93" i="1"/>
  <c r="K100" i="1"/>
  <c r="I100" i="1"/>
  <c r="K104" i="1"/>
  <c r="I114" i="1"/>
  <c r="I120" i="1"/>
  <c r="K137" i="1"/>
  <c r="I137" i="1"/>
  <c r="I145" i="1"/>
  <c r="I151" i="1"/>
  <c r="I161" i="1"/>
  <c r="I164" i="1"/>
  <c r="I170" i="1"/>
  <c r="K208" i="1"/>
  <c r="I208" i="1"/>
  <c r="K219" i="1"/>
  <c r="I231" i="1"/>
  <c r="I235" i="1"/>
  <c r="K235" i="1"/>
  <c r="I269" i="1"/>
  <c r="K273" i="1"/>
  <c r="I273" i="1"/>
  <c r="K291" i="1"/>
  <c r="K347" i="1"/>
  <c r="K379" i="1"/>
  <c r="I25" i="1"/>
  <c r="I61" i="1"/>
  <c r="I4" i="1"/>
  <c r="I10" i="1"/>
  <c r="I38" i="1"/>
  <c r="I47" i="1"/>
  <c r="I50" i="1"/>
  <c r="I65" i="1"/>
  <c r="I76" i="1"/>
  <c r="I79" i="1"/>
  <c r="I82" i="1"/>
  <c r="I97" i="1"/>
  <c r="I108" i="1"/>
  <c r="I111" i="1"/>
  <c r="K124" i="1"/>
  <c r="K155" i="1"/>
  <c r="I167" i="1"/>
  <c r="K175" i="1"/>
  <c r="I175" i="1"/>
  <c r="I192" i="1"/>
  <c r="K195" i="1"/>
  <c r="I205" i="1"/>
  <c r="K216" i="1"/>
  <c r="I216" i="1"/>
  <c r="K249" i="1"/>
  <c r="I253" i="1"/>
  <c r="K259" i="1"/>
  <c r="I266" i="1"/>
  <c r="K281" i="1"/>
  <c r="I285" i="1"/>
  <c r="I307" i="1"/>
  <c r="K307" i="1"/>
  <c r="I329" i="1"/>
  <c r="I373" i="1"/>
  <c r="E17" i="2"/>
  <c r="A10" i="6" s="1"/>
  <c r="D4" i="6"/>
  <c r="I14" i="1"/>
  <c r="K29" i="1"/>
  <c r="I29" i="1"/>
  <c r="I53" i="1"/>
  <c r="K56" i="1"/>
  <c r="I62" i="1"/>
  <c r="I69" i="1"/>
  <c r="I85" i="1"/>
  <c r="K88" i="1"/>
  <c r="I94" i="1"/>
  <c r="I101" i="1"/>
  <c r="I115" i="1"/>
  <c r="K115" i="1"/>
  <c r="K121" i="1"/>
  <c r="K125" i="1"/>
  <c r="I125" i="1"/>
  <c r="I138" i="1"/>
  <c r="K171" i="1"/>
  <c r="K176" i="1"/>
  <c r="I176" i="1"/>
  <c r="I202" i="1"/>
  <c r="I213" i="1"/>
  <c r="I256" i="1"/>
  <c r="K263" i="1"/>
  <c r="I263" i="1"/>
  <c r="I288" i="1"/>
  <c r="K308" i="1"/>
  <c r="I308" i="1"/>
  <c r="K316" i="1"/>
  <c r="I323" i="1"/>
  <c r="K323" i="1"/>
  <c r="K348" i="1"/>
  <c r="I376" i="1"/>
  <c r="K380" i="1"/>
  <c r="K37" i="1"/>
  <c r="I37" i="1"/>
  <c r="K245" i="1"/>
  <c r="I245" i="1"/>
  <c r="B4" i="5"/>
  <c r="E9" i="4"/>
  <c r="B7" i="5"/>
  <c r="F7" i="5" s="1"/>
  <c r="D9" i="4"/>
  <c r="E6" i="4"/>
  <c r="B14" i="2"/>
  <c r="D14" i="2" s="1"/>
  <c r="E11" i="4"/>
  <c r="B5" i="5"/>
  <c r="F5" i="5" s="1"/>
  <c r="D11" i="4"/>
  <c r="E8" i="4"/>
  <c r="B16" i="2"/>
  <c r="D8" i="4"/>
  <c r="E5" i="4"/>
  <c r="B7" i="3"/>
  <c r="B9" i="2"/>
  <c r="E10" i="4"/>
  <c r="B6" i="5"/>
  <c r="F6" i="5" s="1"/>
  <c r="D10" i="4"/>
  <c r="E7" i="4"/>
  <c r="B4" i="3"/>
  <c r="D4" i="3" s="1"/>
  <c r="D18" i="6" s="1"/>
  <c r="D7" i="4"/>
  <c r="B13" i="2"/>
  <c r="B5" i="2"/>
  <c r="D6" i="4"/>
  <c r="B6" i="3"/>
  <c r="D5" i="4"/>
  <c r="E4" i="4"/>
  <c r="B5" i="3"/>
  <c r="B15" i="2"/>
  <c r="D4" i="4"/>
  <c r="B10" i="2"/>
  <c r="B11" i="2"/>
  <c r="D11" i="2" s="1"/>
  <c r="B7" i="2"/>
  <c r="K2" i="1"/>
  <c r="B8" i="2"/>
  <c r="B12" i="2"/>
  <c r="K5" i="1"/>
  <c r="I5" i="1"/>
  <c r="K172" i="1"/>
  <c r="I172" i="1"/>
  <c r="I243" i="1"/>
  <c r="K243" i="1"/>
  <c r="K320" i="1"/>
  <c r="I320" i="1"/>
  <c r="K349" i="1"/>
  <c r="I349" i="1"/>
  <c r="I377" i="1"/>
  <c r="K377" i="1"/>
  <c r="K272" i="1"/>
  <c r="I272" i="1"/>
  <c r="I339" i="1"/>
  <c r="K339" i="1"/>
  <c r="K361" i="1"/>
  <c r="I361" i="1"/>
  <c r="K45" i="1"/>
  <c r="I45" i="1"/>
  <c r="K74" i="1"/>
  <c r="I74" i="1"/>
  <c r="K106" i="1"/>
  <c r="I106" i="1"/>
  <c r="I153" i="1"/>
  <c r="K153" i="1"/>
  <c r="K210" i="1"/>
  <c r="I210" i="1"/>
  <c r="K240" i="1"/>
  <c r="I240" i="1"/>
  <c r="I275" i="1"/>
  <c r="K275" i="1"/>
  <c r="K304" i="1"/>
  <c r="I304" i="1"/>
  <c r="B6" i="2"/>
  <c r="K21" i="1"/>
  <c r="I21" i="1"/>
  <c r="I42" i="1"/>
  <c r="I135" i="1"/>
  <c r="I143" i="1"/>
  <c r="I173" i="1"/>
  <c r="K187" i="1"/>
  <c r="K200" i="1"/>
  <c r="I200" i="1"/>
  <c r="I211" i="1"/>
  <c r="K211" i="1"/>
  <c r="I224" i="1"/>
  <c r="K227" i="1"/>
  <c r="I237" i="1"/>
  <c r="I251" i="1"/>
  <c r="K251" i="1"/>
  <c r="K279" i="1"/>
  <c r="I279" i="1"/>
  <c r="K301" i="1"/>
  <c r="I301" i="1"/>
  <c r="K313" i="1"/>
  <c r="K331" i="1"/>
  <c r="K345" i="1"/>
  <c r="I364" i="1"/>
  <c r="K336" i="1"/>
  <c r="I336" i="1"/>
  <c r="I371" i="1"/>
  <c r="K371" i="1"/>
  <c r="F17" i="2"/>
  <c r="D10" i="6" s="1"/>
  <c r="K112" i="1"/>
  <c r="I112" i="1"/>
  <c r="I147" i="1"/>
  <c r="K147" i="1"/>
  <c r="I289" i="1"/>
  <c r="I292" i="1"/>
  <c r="I298" i="1"/>
  <c r="I305" i="1"/>
  <c r="I311" i="1"/>
  <c r="I333" i="1"/>
  <c r="I340" i="1"/>
  <c r="I346" i="1"/>
  <c r="I352" i="1"/>
  <c r="K355" i="1"/>
  <c r="K368" i="1"/>
  <c r="I368" i="1"/>
  <c r="I381" i="1"/>
  <c r="D8" i="2"/>
  <c r="D5" i="3"/>
  <c r="D19" i="6" s="1"/>
  <c r="K144" i="1"/>
  <c r="I144" i="1"/>
  <c r="I179" i="1"/>
  <c r="K179" i="1"/>
  <c r="D5" i="5"/>
  <c r="D6" i="5"/>
  <c r="D16" i="2"/>
  <c r="E8" i="3"/>
  <c r="D7" i="5"/>
  <c r="C8" i="3"/>
  <c r="D4" i="5"/>
  <c r="H15" i="2" l="1"/>
  <c r="G15" i="2"/>
  <c r="D15" i="2"/>
  <c r="G5" i="3"/>
  <c r="E19" i="6" s="1"/>
  <c r="B19" i="6"/>
  <c r="H7" i="2"/>
  <c r="G7" i="2"/>
  <c r="D7" i="2"/>
  <c r="D6" i="3"/>
  <c r="D20" i="6" s="1"/>
  <c r="G6" i="3"/>
  <c r="E20" i="6" s="1"/>
  <c r="B20" i="6"/>
  <c r="B8" i="5"/>
  <c r="D8" i="5" s="1"/>
  <c r="F4" i="5"/>
  <c r="F8" i="5" s="1"/>
  <c r="J10" i="6"/>
  <c r="G6" i="2"/>
  <c r="H6" i="2"/>
  <c r="D6" i="2"/>
  <c r="H10" i="2"/>
  <c r="G10" i="2"/>
  <c r="D10" i="2"/>
  <c r="B17" i="2"/>
  <c r="G5" i="2"/>
  <c r="H9" i="2"/>
  <c r="G9" i="2"/>
  <c r="G13" i="2"/>
  <c r="H13" i="2"/>
  <c r="G7" i="3"/>
  <c r="E21" i="6" s="1"/>
  <c r="D7" i="3"/>
  <c r="D21" i="6" s="1"/>
  <c r="B21" i="6"/>
  <c r="H14" i="2"/>
  <c r="G14" i="2"/>
  <c r="G4" i="3"/>
  <c r="B8" i="3"/>
  <c r="G10" i="6"/>
  <c r="B18" i="6"/>
  <c r="D9" i="2"/>
  <c r="D8" i="3"/>
  <c r="H12" i="2"/>
  <c r="G12" i="2"/>
  <c r="D12" i="2"/>
  <c r="G16" i="2"/>
  <c r="H16" i="2"/>
  <c r="D5" i="2"/>
  <c r="G11" i="2"/>
  <c r="H11" i="2"/>
  <c r="D13" i="2"/>
  <c r="H8" i="2"/>
  <c r="G8" i="2"/>
  <c r="F11" i="4"/>
  <c r="F5" i="4"/>
  <c r="F10" i="4"/>
  <c r="F4" i="4"/>
  <c r="F9" i="4"/>
  <c r="F8" i="4"/>
  <c r="F7" i="4"/>
  <c r="F6" i="4"/>
  <c r="A4" i="6" l="1"/>
  <c r="D17" i="2"/>
  <c r="G4" i="6" s="1"/>
  <c r="G8" i="3"/>
  <c r="E18" i="6"/>
  <c r="G17" i="2"/>
  <c r="J4" i="6" s="1"/>
</calcChain>
</file>

<file path=xl/sharedStrings.xml><?xml version="1.0" encoding="utf-8"?>
<sst xmlns="http://schemas.openxmlformats.org/spreadsheetml/2006/main" count="1638" uniqueCount="61">
  <si>
    <t>Month</t>
  </si>
  <si>
    <t>Region</t>
  </si>
  <si>
    <t>Sales Rep</t>
  </si>
  <si>
    <t>Product</t>
  </si>
  <si>
    <t>Units Sold</t>
  </si>
  <si>
    <t>Unit Price (₹)</t>
  </si>
  <si>
    <t>Revenue (₹)</t>
  </si>
  <si>
    <t>Target (₹)</t>
  </si>
  <si>
    <t>Achievement (%)</t>
  </si>
  <si>
    <t>Expenses (₹)</t>
  </si>
  <si>
    <t>Net Profit (₹)</t>
  </si>
  <si>
    <t>Jan</t>
  </si>
  <si>
    <t>North</t>
  </si>
  <si>
    <t>Arjun Kumar</t>
  </si>
  <si>
    <t>Product A</t>
  </si>
  <si>
    <t>Product B</t>
  </si>
  <si>
    <t>Product C</t>
  </si>
  <si>
    <t>Product D</t>
  </si>
  <si>
    <t>Priya Nair</t>
  </si>
  <si>
    <t>South</t>
  </si>
  <si>
    <t>Rahul Verma</t>
  </si>
  <si>
    <t>Deepa Menon</t>
  </si>
  <si>
    <t>East</t>
  </si>
  <si>
    <t>Amit Shah</t>
  </si>
  <si>
    <t>Sunita Roy</t>
  </si>
  <si>
    <t>West</t>
  </si>
  <si>
    <t>Vikram Iyer</t>
  </si>
  <si>
    <t>Anjali Singh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</si>
  <si>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</si>
  <si>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</si>
  <si>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</si>
  <si>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</si>
  <si>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</si>
  <si>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</si>
  <si>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</si>
  <si>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</si>
  <si>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</si>
  <si>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</si>
  <si>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</si>
  <si>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Performance Summary</t>
  </si>
  <si>
    <t>FY 2024  |  All Regions  |  All Products</t>
  </si>
  <si>
    <t>Total Revenue (₹)</t>
  </si>
  <si>
    <t>Total Target (₹)</t>
  </si>
  <si>
    <t>Total Expenses (₹)</t>
  </si>
  <si>
    <t>MoM Growth (%)</t>
  </si>
  <si>
    <t>TOTAL</t>
  </si>
  <si>
    <t>Regional Sales Performance Dashboard</t>
  </si>
  <si>
    <t>Sales Rep Performance Leaderboard</t>
  </si>
  <si>
    <t>Rank</t>
  </si>
  <si>
    <t>Product Performance Analysis</t>
  </si>
  <si>
    <t>Avg Unit Price (₹)</t>
  </si>
  <si>
    <t>⚡  EXECUTIVE SALES PERFORMANCE DASHBOARD  ⚡</t>
  </si>
  <si>
    <t>FY 2024  |  Consolidated View  |  All Regions &amp; Products</t>
  </si>
  <si>
    <t>Total Revenue</t>
  </si>
  <si>
    <t>Total Target</t>
  </si>
  <si>
    <t>Overall Achievement</t>
  </si>
  <si>
    <t>Net Profit</t>
  </si>
  <si>
    <t>Total Expenses</t>
  </si>
  <si>
    <t>Top Region</t>
  </si>
  <si>
    <t>Top Product</t>
  </si>
  <si>
    <t>Quick Regional 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</si>
</sst>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39]#,##0;\([$₹-439]#,##0\);\-"/>
    <numFmt numFmtId="165" formatCode="0.0%"/>
    <numFmt numFmtId="166" formatCode="[$₹-439]#,##0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b/>
      <sz val="18"/>
      <color rgb="FFFFFFFF"/>
      <name val="Arial"/>
      <charset val="1"/>
    </font>
    <font>
      <b/>
      <sz val="22"/>
      <color rgb="FFFFFFFF"/>
      <name val="Arial"/>
      <charset val="1"/>
    </font>
    <font>
      <b/>
      <sz val="20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FFDAB9"/>
        <bgColor rgb="FFFCE4D6"/>
      </patternFill>
    </fill>
    <fill>
      <patternFill patternType="solid">
        <fgColor rgb="FF90EE90"/>
        <bgColor rgb="FFBDD7EE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BFBFBF"/>
      </patternFill>
    </fill>
    <fill>
      <patternFill patternType="solid">
        <fgColor rgb="FFCD7F32"/>
        <bgColor rgb="FFED7D31"/>
      </patternFill>
    </fill>
    <fill>
      <patternFill patternType="solid">
        <fgColor rgb="FFDCE6F1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ED7D31"/>
        <bgColor rgb="FFCD7F32"/>
      </patternFill>
    </fill>
    <fill>
      <patternFill patternType="solid">
        <fgColor rgb="FF00B0A0"/>
        <bgColor rgb="FF008080"/>
      </patternFill>
    </fill>
    <fill>
      <patternFill patternType="solid">
        <fgColor rgb="FF70AD47"/>
        <bgColor rgb="FF9BBB59"/>
      </patternFill>
    </fill>
    <fill>
      <patternFill patternType="solid">
        <fgColor rgb="FF1F5C8B"/>
        <bgColor rgb="FF2E75B6"/>
      </patternFill>
    </fill>
    <fill>
      <patternFill patternType="solid">
        <fgColor rgb="FF8B1A1A"/>
        <bgColor rgb="FF800000"/>
      </patternFill>
    </fill>
    <fill>
      <patternFill patternType="solid">
        <fgColor rgb="FF4B7A3B"/>
        <bgColor rgb="FF595959"/>
      </patternFill>
    </fill>
    <fill>
      <patternFill patternType="solid">
        <fgColor rgb="FF7B5B2B"/>
        <bgColor rgb="FF59595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8">
    <xf numFmtId="0" fontId="0" fillId="0" borderId="0" xfId="0"/>
    <xf numFmtId="49" fontId="8" fillId="22" borderId="2" xfId="0" applyNumberFormat="1" applyFont="1" applyFill="1" applyBorder="1" applyAlignment="1">
      <alignment horizontal="center" vertical="center"/>
    </xf>
    <xf numFmtId="49" fontId="8" fillId="21" borderId="2" xfId="0" applyNumberFormat="1" applyFont="1" applyFill="1" applyBorder="1" applyAlignment="1">
      <alignment horizontal="center" vertical="center"/>
    </xf>
    <xf numFmtId="166" fontId="8" fillId="20" borderId="2" xfId="0" applyNumberFormat="1" applyFont="1" applyFill="1" applyBorder="1" applyAlignment="1">
      <alignment horizontal="center" vertical="center"/>
    </xf>
    <xf numFmtId="3" fontId="8" fillId="19" borderId="2" xfId="0" applyNumberFormat="1" applyFont="1" applyFill="1" applyBorder="1" applyAlignment="1">
      <alignment horizontal="center" vertical="center"/>
    </xf>
    <xf numFmtId="0" fontId="1" fillId="18" borderId="3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66" fontId="7" fillId="18" borderId="2" xfId="0" applyNumberFormat="1" applyFont="1" applyFill="1" applyBorder="1" applyAlignment="1">
      <alignment horizontal="center" vertical="center"/>
    </xf>
    <xf numFmtId="165" fontId="7" fillId="17" borderId="2" xfId="0" applyNumberFormat="1" applyFont="1" applyFill="1" applyBorder="1" applyAlignment="1">
      <alignment horizontal="center" vertical="center"/>
    </xf>
    <xf numFmtId="166" fontId="7" fillId="16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/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5" fillId="6" borderId="1" xfId="0" applyFont="1" applyFill="1" applyBorder="1"/>
    <xf numFmtId="166" fontId="2" fillId="6" borderId="1" xfId="0" applyNumberFormat="1" applyFont="1" applyFill="1" applyBorder="1" applyAlignment="1">
      <alignment horizontal="right" vertical="center"/>
    </xf>
    <xf numFmtId="165" fontId="2" fillId="6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/>
    <xf numFmtId="166" fontId="2" fillId="7" borderId="1" xfId="0" applyNumberFormat="1" applyFont="1" applyFill="1" applyBorder="1" applyAlignment="1">
      <alignment horizontal="right" vertical="center"/>
    </xf>
    <xf numFmtId="165" fontId="2" fillId="7" borderId="1" xfId="0" applyNumberFormat="1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/>
    <xf numFmtId="166" fontId="2" fillId="8" borderId="1" xfId="0" applyNumberFormat="1" applyFont="1" applyFill="1" applyBorder="1" applyAlignment="1">
      <alignment horizontal="right" vertical="center"/>
    </xf>
    <xf numFmtId="165" fontId="2" fillId="8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/>
    <xf numFmtId="166" fontId="2" fillId="9" borderId="1" xfId="0" applyNumberFormat="1" applyFont="1" applyFill="1" applyBorder="1" applyAlignment="1">
      <alignment horizontal="right" vertical="center"/>
    </xf>
    <xf numFmtId="165" fontId="2" fillId="9" borderId="1" xfId="0" applyNumberFormat="1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right" vertical="center"/>
    </xf>
    <xf numFmtId="166" fontId="5" fillId="9" borderId="1" xfId="0" applyNumberFormat="1" applyFont="1" applyFill="1" applyBorder="1" applyAlignment="1">
      <alignment horizontal="right" vertical="center"/>
    </xf>
    <xf numFmtId="165" fontId="5" fillId="9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right" vertical="center"/>
    </xf>
    <xf numFmtId="166" fontId="5" fillId="10" borderId="1" xfId="0" applyNumberFormat="1" applyFont="1" applyFill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right" vertical="center"/>
    </xf>
    <xf numFmtId="166" fontId="5" fillId="11" borderId="1" xfId="0" applyNumberFormat="1" applyFont="1" applyFill="1" applyBorder="1" applyAlignment="1">
      <alignment horizontal="right" vertical="center"/>
    </xf>
    <xf numFmtId="165" fontId="5" fillId="11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166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2" fillId="12" borderId="1" xfId="0" applyFont="1" applyFill="1" applyBorder="1"/>
    <xf numFmtId="166" fontId="2" fillId="12" borderId="1" xfId="0" applyNumberFormat="1" applyFont="1" applyFill="1" applyBorder="1" applyAlignment="1">
      <alignment horizontal="right" vertical="center"/>
    </xf>
    <xf numFmtId="3" fontId="2" fillId="12" borderId="1" xfId="0" applyNumberFormat="1" applyFont="1" applyFill="1" applyBorder="1" applyAlignment="1">
      <alignment horizontal="right" vertical="center"/>
    </xf>
    <xf numFmtId="0" fontId="2" fillId="13" borderId="1" xfId="0" applyFont="1" applyFill="1" applyBorder="1"/>
    <xf numFmtId="166" fontId="2" fillId="13" borderId="1" xfId="0" applyNumberFormat="1" applyFont="1" applyFill="1" applyBorder="1" applyAlignment="1">
      <alignment horizontal="right" vertical="center"/>
    </xf>
    <xf numFmtId="3" fontId="2" fillId="13" borderId="1" xfId="0" applyNumberFormat="1" applyFont="1" applyFill="1" applyBorder="1" applyAlignment="1">
      <alignment horizontal="right" vertical="center"/>
    </xf>
    <xf numFmtId="0" fontId="2" fillId="14" borderId="1" xfId="0" applyFont="1" applyFill="1" applyBorder="1"/>
    <xf numFmtId="166" fontId="2" fillId="14" borderId="1" xfId="0" applyNumberFormat="1" applyFont="1" applyFill="1" applyBorder="1" applyAlignment="1">
      <alignment horizontal="right" vertical="center"/>
    </xf>
    <xf numFmtId="3" fontId="2" fillId="14" borderId="1" xfId="0" applyNumberFormat="1" applyFont="1" applyFill="1" applyBorder="1" applyAlignment="1">
      <alignment horizontal="right" vertical="center"/>
    </xf>
    <xf numFmtId="0" fontId="2" fillId="15" borderId="1" xfId="0" applyFont="1" applyFill="1" applyBorder="1"/>
    <xf numFmtId="166" fontId="2" fillId="15" borderId="1" xfId="0" applyNumberFormat="1" applyFont="1" applyFill="1" applyBorder="1" applyAlignment="1">
      <alignment horizontal="right" vertical="center"/>
    </xf>
    <xf numFmtId="3" fontId="2" fillId="15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/>
    <xf numFmtId="166" fontId="2" fillId="3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/>
    <xf numFmtId="0" fontId="1" fillId="19" borderId="3" xfId="0" applyFont="1" applyFill="1" applyBorder="1" applyAlignment="1">
      <alignment horizontal="center" vertical="center" wrapText="1"/>
    </xf>
    <xf numFmtId="0" fontId="1" fillId="20" borderId="3" xfId="0" applyFont="1" applyFill="1" applyBorder="1" applyAlignment="1">
      <alignment horizontal="center" vertical="center" wrapText="1"/>
    </xf>
    <xf numFmtId="0" fontId="1" fillId="21" borderId="3" xfId="0" applyFont="1" applyFill="1" applyBorder="1" applyAlignment="1">
      <alignment horizontal="center" vertical="center" wrapText="1"/>
    </xf>
    <xf numFmtId="0" fontId="1" fillId="2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B2B"/>
      <rgbColor rgb="FF800080"/>
      <rgbColor rgb="FF4F81BD"/>
      <rgbColor rgb="FFC0C0C0"/>
      <rgbColor rgb="FF878787"/>
      <rgbColor rgb="FF9999FF"/>
      <rgbColor rgb="FFC0504D"/>
      <rgbColor rgb="FFFFF2CC"/>
      <rgbColor rgb="FFDCE6F1"/>
      <rgbColor rgb="FF660066"/>
      <rgbColor rgb="FFCD7F32"/>
      <rgbColor rgb="FF1F5C8B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2F2"/>
      <rgbColor rgb="FFE2EFDA"/>
      <rgbColor rgb="FFFCE4D6"/>
      <rgbColor rgb="FFBFBFBF"/>
      <rgbColor rgb="FFFF99CC"/>
      <rgbColor rgb="FFD9D9D9"/>
      <rgbColor rgb="FFFFDAB9"/>
      <rgbColor rgb="FF2E75B6"/>
      <rgbColor rgb="FF90EE90"/>
      <rgbColor rgb="FF9BBB59"/>
      <rgbColor rgb="FFFFD700"/>
      <rgbColor rgb="FFFF9900"/>
      <rgbColor rgb="FFED7D31"/>
      <rgbColor rgb="FF8064A2"/>
      <rgbColor rgb="FF70AD47"/>
      <rgbColor rgb="FF1F3864"/>
      <rgbColor rgb="FF4B7A3B"/>
      <rgbColor rgb="FF003300"/>
      <rgbColor rgb="FF333300"/>
      <rgbColor rgb="FF8B1A1A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Summary'!$B$4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Summary'!$B$5:$B$16</c:f>
              <c:numCache>
                <c:formatCode>[$₹-439]#,##0;\([$₹-439]#,##0\);\-</c:formatCode>
                <c:ptCount val="12"/>
                <c:pt idx="0">
                  <c:v>13830106</c:v>
                </c:pt>
                <c:pt idx="1">
                  <c:v>17374718</c:v>
                </c:pt>
                <c:pt idx="2">
                  <c:v>17025730</c:v>
                </c:pt>
                <c:pt idx="3">
                  <c:v>14874430</c:v>
                </c:pt>
                <c:pt idx="4">
                  <c:v>15586311</c:v>
                </c:pt>
                <c:pt idx="5">
                  <c:v>12262960</c:v>
                </c:pt>
                <c:pt idx="6">
                  <c:v>18462338</c:v>
                </c:pt>
                <c:pt idx="7">
                  <c:v>19783721</c:v>
                </c:pt>
                <c:pt idx="8">
                  <c:v>14458921</c:v>
                </c:pt>
                <c:pt idx="9">
                  <c:v>14184098</c:v>
                </c:pt>
                <c:pt idx="10">
                  <c:v>13809449</c:v>
                </c:pt>
                <c:pt idx="11">
                  <c:v>16281210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9-E744-8402-99F1C5889A82}"/>
            </c:ext>
          </c:extLst>
        </c:ser>
        <c:ser>
          <c:idx val="1"/>
          <c:order val="1"/>
          <c:tx>
            <c:strRef>
              <c:f>'Monthly Summary'!$C$4</c:f>
              <c:strCache>
                <c:ptCount val="1"/>
                <c:pt idx="0">
                  <c:v>Total Target (₹)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Summary'!$C$5:$C$16</c:f>
              <c:numCache>
                <c:formatCode>[$₹-439]#,##0;\([$₹-439]#,##0\);\-</c:formatCode>
                <c:ptCount val="12"/>
                <c:pt idx="0">
                  <c:v>39107602</c:v>
                </c:pt>
                <c:pt idx="1">
                  <c:v>37861343</c:v>
                </c:pt>
                <c:pt idx="2">
                  <c:v>38247090</c:v>
                </c:pt>
                <c:pt idx="3">
                  <c:v>40903223</c:v>
                </c:pt>
                <c:pt idx="4">
                  <c:v>44422939</c:v>
                </c:pt>
                <c:pt idx="5">
                  <c:v>41811761</c:v>
                </c:pt>
                <c:pt idx="6">
                  <c:v>39843393</c:v>
                </c:pt>
                <c:pt idx="7">
                  <c:v>38216231</c:v>
                </c:pt>
                <c:pt idx="8">
                  <c:v>44394420</c:v>
                </c:pt>
                <c:pt idx="9">
                  <c:v>42574981</c:v>
                </c:pt>
                <c:pt idx="10">
                  <c:v>36236684</c:v>
                </c:pt>
                <c:pt idx="11">
                  <c:v>41458521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09-E744-8402-99F1C5889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164770"/>
        <c:axId val="2696864"/>
      </c:barChart>
      <c:catAx>
        <c:axId val="941647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96864"/>
        <c:crosses val="autoZero"/>
        <c:auto val="1"/>
        <c:lblAlgn val="ctr"/>
        <c:lblOffset val="100"/>
        <c:noMultiLvlLbl val="0"/>
      </c:catAx>
      <c:valAx>
        <c:axId val="2696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₹-439]#,##0;\([$₹-439]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1647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Net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Summary'!$G$4</c:f>
              <c:strCache>
                <c:ptCount val="1"/>
                <c:pt idx="0">
                  <c:v>Net Profit (₹)</c:v>
                </c:pt>
              </c:strCache>
            </c:strRef>
          </c:tx>
          <c:spPr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Summary'!$G$5:$G$16</c:f>
              <c:numCache>
                <c:formatCode>[$₹-439]#,##0;\([$₹-439]#,##0\);\-</c:formatCode>
                <c:ptCount val="12"/>
                <c:pt idx="0">
                  <c:v>9811585</c:v>
                </c:pt>
                <c:pt idx="1">
                  <c:v>13303762</c:v>
                </c:pt>
                <c:pt idx="2">
                  <c:v>13532712</c:v>
                </c:pt>
                <c:pt idx="3">
                  <c:v>10872189</c:v>
                </c:pt>
                <c:pt idx="4">
                  <c:v>11436144</c:v>
                </c:pt>
                <c:pt idx="5">
                  <c:v>8308100</c:v>
                </c:pt>
                <c:pt idx="6">
                  <c:v>14730419</c:v>
                </c:pt>
                <c:pt idx="7">
                  <c:v>15893055</c:v>
                </c:pt>
                <c:pt idx="8">
                  <c:v>10427341</c:v>
                </c:pt>
                <c:pt idx="9">
                  <c:v>10123429</c:v>
                </c:pt>
                <c:pt idx="10">
                  <c:v>9740500</c:v>
                </c:pt>
                <c:pt idx="11">
                  <c:v>12124511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60-7F49-8EAE-0206BAE89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968843"/>
        <c:axId val="10938334"/>
      </c:lineChart>
      <c:catAx>
        <c:axId val="819688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38334"/>
        <c:crosses val="autoZero"/>
        <c:auto val="1"/>
        <c:lblAlgn val="ctr"/>
        <c:lblOffset val="100"/>
        <c:noMultiLvlLbl val="0"/>
      </c:catAx>
      <c:valAx>
        <c:axId val="10938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Net 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₹-439]#,##0;\([$₹-439]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88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Distribution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'Regional Summary'!$B$3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F32-1A4B-975F-EA494AFE05E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F32-1A4B-975F-EA494AFE05E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F32-1A4B-975F-EA494AFE05E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F32-1A4B-975F-EA494AFE05E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F32-1A4B-975F-EA494AFE05E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F32-1A4B-975F-EA494AFE05E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F32-1A4B-975F-EA494AFE05E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F32-1A4B-975F-EA494AFE05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'Regional Summary'!$A$4:$A$7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'Regional Summary'!$B$4:$B$7</c:f>
              <c:numCache>
                <c:formatCode>[$₹-439]#,##0</c:formatCode>
                <c:ptCount val="4"/>
                <c:pt idx="0">
                  <c:v>49112161</c:v>
                </c:pt>
                <c:pt idx="1">
                  <c:v>40462753</c:v>
                </c:pt>
                <c:pt idx="2">
                  <c:v>50750453</c:v>
                </c:pt>
                <c:pt idx="3">
                  <c:v>47608625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32-1A4B-975F-EA494AFE0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Achievement %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Summary'!$D$3</c:f>
              <c:strCache>
                <c:ptCount val="1"/>
                <c:pt idx="0">
                  <c:v>Achievement (%)</c:v>
                </c:pt>
              </c:strCache>
            </c:strRef>
          </c:tx>
          <c:spPr>
            <a:solidFill>
              <a:srgbClr val="00B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Summary'!$A$4:$A$7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'Regional Summary'!$D$4:$D$7</c:f>
              <c:numCache>
                <c:formatCode>0.0%</c:formatCode>
                <c:ptCount val="4"/>
                <c:pt idx="0">
                  <c:v>0.40075995137790443</c:v>
                </c:pt>
                <c:pt idx="1">
                  <c:v>0.34075504479162844</c:v>
                </c:pt>
                <c:pt idx="2">
                  <c:v>0.41975553738423171</c:v>
                </c:pt>
                <c:pt idx="3">
                  <c:v>0.3874354828252442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7-9E42-B975-48DC97FCA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22198"/>
        <c:axId val="65831650"/>
      </c:barChart>
      <c:catAx>
        <c:axId val="340221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831650"/>
        <c:crosses val="autoZero"/>
        <c:auto val="1"/>
        <c:lblAlgn val="ctr"/>
        <c:lblOffset val="100"/>
        <c:noMultiLvlLbl val="0"/>
      </c:catAx>
      <c:valAx>
        <c:axId val="65831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Achievement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221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C0E-B74F-BBEA-807FB9873F6F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C0E-B74F-BBEA-807FB9873F6F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C0E-B74F-BBEA-807FB9873F6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A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C0E-B74F-BBEA-807FB9873F6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C0E-B74F-BBEA-807FB9873F6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C0E-B74F-BBEA-807FB9873F6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C0E-B74F-BBEA-807FB9873F6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C0E-B74F-BBEA-807FB9873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Analysis'!$A$4:$A$7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'Product Analysis'!$B$4:$B$7</c:f>
              <c:numCache>
                <c:formatCode>[$₹-439]#,##0</c:formatCode>
                <c:ptCount val="4"/>
                <c:pt idx="0">
                  <c:v>44224918</c:v>
                </c:pt>
                <c:pt idx="1">
                  <c:v>51792878</c:v>
                </c:pt>
                <c:pt idx="2">
                  <c:v>48276413</c:v>
                </c:pt>
                <c:pt idx="3">
                  <c:v>43639783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0E-B74F-BBEA-807FB9873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42553"/>
        <c:axId val="29471617"/>
      </c:barChart>
      <c:catAx>
        <c:axId val="2874255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471617"/>
        <c:crosses val="autoZero"/>
        <c:auto val="1"/>
        <c:lblAlgn val="ctr"/>
        <c:lblOffset val="100"/>
        <c:noMultiLvlLbl val="0"/>
      </c:catAx>
      <c:valAx>
        <c:axId val="294716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₹-439]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425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8</xdr:col>
      <xdr:colOff>166320</xdr:colOff>
      <xdr:row>43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24</xdr:col>
      <xdr:colOff>581760</xdr:colOff>
      <xdr:row>43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5</xdr:col>
      <xdr:colOff>402840</xdr:colOff>
      <xdr:row>36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19</xdr:col>
      <xdr:colOff>255960</xdr:colOff>
      <xdr:row>36</xdr:row>
      <xdr:rowOff>86400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5</xdr:col>
      <xdr:colOff>856080</xdr:colOff>
      <xdr:row>32</xdr:row>
      <xdr:rowOff>128520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5"/>
  <sheetViews>
    <sheetView zoomScaleNormal="100" workbookViewId="0"/>
  </sheetViews>
  <sheetFormatPr baseColWidth="10" defaultColWidth="8.6640625" defaultRowHeight="15" x14ac:dyDescent="0.2"/>
  <cols>
    <col min="1" max="1" width="8" customWidth="1"/>
    <col min="2" max="2" width="10" customWidth="1"/>
    <col min="3" max="3" width="18" customWidth="1"/>
    <col min="4" max="5" width="12" customWidth="1"/>
    <col min="6" max="7" width="14" customWidth="1"/>
    <col min="8" max="8" width="12" customWidth="1"/>
    <col min="9" max="9" width="16" customWidth="1"/>
    <col min="10" max="10" width="13" customWidth="1"/>
    <col min="11" max="11" width="14" customWidth="1"/>
  </cols>
  <sheetData>
    <row r="1" spans="1:11" ht="30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 x14ac:dyDescent="0.2">
      <c r="A2" s="16" t="s">
        <v>11</v>
      </c>
      <c r="B2" s="16" t="s">
        <v>12</v>
      </c>
      <c r="C2" s="16" t="s">
        <v>13</v>
      </c>
      <c r="D2" s="16" t="s">
        <v>14</v>
      </c>
      <c r="E2" s="17">
        <v>377</v>
      </c>
      <c r="F2" s="18">
        <v>500</v>
      </c>
      <c r="G2" s="18">
        <f t="shared" ref="G2:G65" si="0">E2*F2</f>
        <v>188500</v>
      </c>
      <c r="H2" s="18">
        <v>552451</v>
      </c>
      <c r="I2" s="19">
        <f t="shared" ref="I2:I65" si="1">IF(H2=0,0,G2/H2)</f>
        <v>0.34120673145672648</v>
      </c>
      <c r="J2" s="18">
        <v>122097</v>
      </c>
      <c r="K2" s="18">
        <f t="shared" ref="K2:K65" si="2">G2-J2</f>
        <v>66403</v>
      </c>
    </row>
    <row r="3" spans="1:11" x14ac:dyDescent="0.2">
      <c r="A3" s="16" t="s">
        <v>11</v>
      </c>
      <c r="B3" s="16" t="s">
        <v>12</v>
      </c>
      <c r="C3" s="16" t="s">
        <v>13</v>
      </c>
      <c r="D3" s="16" t="s">
        <v>15</v>
      </c>
      <c r="E3" s="17">
        <v>175</v>
      </c>
      <c r="F3" s="18">
        <v>999</v>
      </c>
      <c r="G3" s="18">
        <f t="shared" si="0"/>
        <v>174825</v>
      </c>
      <c r="H3" s="18">
        <v>792632</v>
      </c>
      <c r="I3" s="19">
        <f t="shared" si="1"/>
        <v>0.22056263183923938</v>
      </c>
      <c r="J3" s="18">
        <v>76868</v>
      </c>
      <c r="K3" s="18">
        <f t="shared" si="2"/>
        <v>97957</v>
      </c>
    </row>
    <row r="4" spans="1:11" x14ac:dyDescent="0.2">
      <c r="A4" s="16" t="s">
        <v>11</v>
      </c>
      <c r="B4" s="16" t="s">
        <v>12</v>
      </c>
      <c r="C4" s="16" t="s">
        <v>13</v>
      </c>
      <c r="D4" s="16" t="s">
        <v>16</v>
      </c>
      <c r="E4" s="17">
        <v>396</v>
      </c>
      <c r="F4" s="18">
        <v>4999</v>
      </c>
      <c r="G4" s="18">
        <f t="shared" si="0"/>
        <v>1979604</v>
      </c>
      <c r="H4" s="18">
        <v>682323</v>
      </c>
      <c r="I4" s="19">
        <f t="shared" si="1"/>
        <v>2.9012710988783903</v>
      </c>
      <c r="J4" s="18">
        <v>160604</v>
      </c>
      <c r="K4" s="18">
        <f t="shared" si="2"/>
        <v>1819000</v>
      </c>
    </row>
    <row r="5" spans="1:11" x14ac:dyDescent="0.2">
      <c r="A5" s="16" t="s">
        <v>11</v>
      </c>
      <c r="B5" s="16" t="s">
        <v>12</v>
      </c>
      <c r="C5" s="16" t="s">
        <v>13</v>
      </c>
      <c r="D5" s="16" t="s">
        <v>17</v>
      </c>
      <c r="E5" s="17">
        <v>66</v>
      </c>
      <c r="F5" s="18">
        <v>500</v>
      </c>
      <c r="G5" s="18">
        <f t="shared" si="0"/>
        <v>33000</v>
      </c>
      <c r="H5" s="18">
        <v>696493</v>
      </c>
      <c r="I5" s="19">
        <f t="shared" si="1"/>
        <v>4.7380232105706736E-2</v>
      </c>
      <c r="J5" s="18">
        <v>107314</v>
      </c>
      <c r="K5" s="18">
        <f t="shared" si="2"/>
        <v>-74314</v>
      </c>
    </row>
    <row r="6" spans="1:11" x14ac:dyDescent="0.2">
      <c r="A6" s="16" t="s">
        <v>11</v>
      </c>
      <c r="B6" s="16" t="s">
        <v>12</v>
      </c>
      <c r="C6" s="16" t="s">
        <v>18</v>
      </c>
      <c r="D6" s="16" t="s">
        <v>14</v>
      </c>
      <c r="E6" s="17">
        <v>169</v>
      </c>
      <c r="F6" s="18">
        <v>4999</v>
      </c>
      <c r="G6" s="18">
        <f t="shared" si="0"/>
        <v>844831</v>
      </c>
      <c r="H6" s="18">
        <v>1762524</v>
      </c>
      <c r="I6" s="19">
        <f t="shared" si="1"/>
        <v>0.47933021053897706</v>
      </c>
      <c r="J6" s="18">
        <v>56956</v>
      </c>
      <c r="K6" s="18">
        <f t="shared" si="2"/>
        <v>787875</v>
      </c>
    </row>
    <row r="7" spans="1:11" x14ac:dyDescent="0.2">
      <c r="A7" s="16" t="s">
        <v>11</v>
      </c>
      <c r="B7" s="16" t="s">
        <v>12</v>
      </c>
      <c r="C7" s="16" t="s">
        <v>18</v>
      </c>
      <c r="D7" s="16" t="s">
        <v>15</v>
      </c>
      <c r="E7" s="17">
        <v>337</v>
      </c>
      <c r="F7" s="18">
        <v>999</v>
      </c>
      <c r="G7" s="18">
        <f t="shared" si="0"/>
        <v>336663</v>
      </c>
      <c r="H7" s="18">
        <v>1862906</v>
      </c>
      <c r="I7" s="19">
        <f t="shared" si="1"/>
        <v>0.18071926334447364</v>
      </c>
      <c r="J7" s="18">
        <v>192853</v>
      </c>
      <c r="K7" s="18">
        <f t="shared" si="2"/>
        <v>143810</v>
      </c>
    </row>
    <row r="8" spans="1:11" x14ac:dyDescent="0.2">
      <c r="A8" s="16" t="s">
        <v>11</v>
      </c>
      <c r="B8" s="16" t="s">
        <v>12</v>
      </c>
      <c r="C8" s="16" t="s">
        <v>18</v>
      </c>
      <c r="D8" s="16" t="s">
        <v>16</v>
      </c>
      <c r="E8" s="17">
        <v>264</v>
      </c>
      <c r="F8" s="18">
        <v>999</v>
      </c>
      <c r="G8" s="18">
        <f t="shared" si="0"/>
        <v>263736</v>
      </c>
      <c r="H8" s="18">
        <v>1442059</v>
      </c>
      <c r="I8" s="19">
        <f t="shared" si="1"/>
        <v>0.18288849485353928</v>
      </c>
      <c r="J8" s="18">
        <v>122926</v>
      </c>
      <c r="K8" s="18">
        <f t="shared" si="2"/>
        <v>140810</v>
      </c>
    </row>
    <row r="9" spans="1:11" x14ac:dyDescent="0.2">
      <c r="A9" s="16" t="s">
        <v>11</v>
      </c>
      <c r="B9" s="16" t="s">
        <v>12</v>
      </c>
      <c r="C9" s="16" t="s">
        <v>18</v>
      </c>
      <c r="D9" s="16" t="s">
        <v>17</v>
      </c>
      <c r="E9" s="17">
        <v>53</v>
      </c>
      <c r="F9" s="18">
        <v>999</v>
      </c>
      <c r="G9" s="18">
        <f t="shared" si="0"/>
        <v>52947</v>
      </c>
      <c r="H9" s="18">
        <v>1964104</v>
      </c>
      <c r="I9" s="19">
        <f t="shared" si="1"/>
        <v>2.6957330161742964E-2</v>
      </c>
      <c r="J9" s="18">
        <v>160785</v>
      </c>
      <c r="K9" s="18">
        <f t="shared" si="2"/>
        <v>-107838</v>
      </c>
    </row>
    <row r="10" spans="1:11" x14ac:dyDescent="0.2">
      <c r="A10" s="16" t="s">
        <v>11</v>
      </c>
      <c r="B10" s="16" t="s">
        <v>19</v>
      </c>
      <c r="C10" s="16" t="s">
        <v>20</v>
      </c>
      <c r="D10" s="16" t="s">
        <v>14</v>
      </c>
      <c r="E10" s="17">
        <v>224</v>
      </c>
      <c r="F10" s="18">
        <v>1499</v>
      </c>
      <c r="G10" s="18">
        <f t="shared" si="0"/>
        <v>335776</v>
      </c>
      <c r="H10" s="18">
        <v>826064</v>
      </c>
      <c r="I10" s="19">
        <f t="shared" si="1"/>
        <v>0.40647697999186505</v>
      </c>
      <c r="J10" s="18">
        <v>106443</v>
      </c>
      <c r="K10" s="18">
        <f t="shared" si="2"/>
        <v>229333</v>
      </c>
    </row>
    <row r="11" spans="1:11" x14ac:dyDescent="0.2">
      <c r="A11" s="16" t="s">
        <v>11</v>
      </c>
      <c r="B11" s="16" t="s">
        <v>19</v>
      </c>
      <c r="C11" s="16" t="s">
        <v>20</v>
      </c>
      <c r="D11" s="16" t="s">
        <v>15</v>
      </c>
      <c r="E11" s="17">
        <v>222</v>
      </c>
      <c r="F11" s="18">
        <v>500</v>
      </c>
      <c r="G11" s="18">
        <f t="shared" si="0"/>
        <v>111000</v>
      </c>
      <c r="H11" s="18">
        <v>694502</v>
      </c>
      <c r="I11" s="19">
        <f t="shared" si="1"/>
        <v>0.15982675355866505</v>
      </c>
      <c r="J11" s="18">
        <v>149595</v>
      </c>
      <c r="K11" s="18">
        <f t="shared" si="2"/>
        <v>-38595</v>
      </c>
    </row>
    <row r="12" spans="1:11" x14ac:dyDescent="0.2">
      <c r="A12" s="16" t="s">
        <v>11</v>
      </c>
      <c r="B12" s="16" t="s">
        <v>19</v>
      </c>
      <c r="C12" s="16" t="s">
        <v>20</v>
      </c>
      <c r="D12" s="16" t="s">
        <v>16</v>
      </c>
      <c r="E12" s="17">
        <v>99</v>
      </c>
      <c r="F12" s="18">
        <v>1499</v>
      </c>
      <c r="G12" s="18">
        <f t="shared" si="0"/>
        <v>148401</v>
      </c>
      <c r="H12" s="18">
        <v>1221327</v>
      </c>
      <c r="I12" s="19">
        <f t="shared" si="1"/>
        <v>0.1215079990862398</v>
      </c>
      <c r="J12" s="18">
        <v>119342</v>
      </c>
      <c r="K12" s="18">
        <f t="shared" si="2"/>
        <v>29059</v>
      </c>
    </row>
    <row r="13" spans="1:11" x14ac:dyDescent="0.2">
      <c r="A13" s="16" t="s">
        <v>11</v>
      </c>
      <c r="B13" s="16" t="s">
        <v>19</v>
      </c>
      <c r="C13" s="16" t="s">
        <v>20</v>
      </c>
      <c r="D13" s="16" t="s">
        <v>17</v>
      </c>
      <c r="E13" s="17">
        <v>72</v>
      </c>
      <c r="F13" s="18">
        <v>2499</v>
      </c>
      <c r="G13" s="18">
        <f t="shared" si="0"/>
        <v>179928</v>
      </c>
      <c r="H13" s="18">
        <v>1624551</v>
      </c>
      <c r="I13" s="19">
        <f t="shared" si="1"/>
        <v>0.11075552568063422</v>
      </c>
      <c r="J13" s="18">
        <v>82722</v>
      </c>
      <c r="K13" s="18">
        <f t="shared" si="2"/>
        <v>97206</v>
      </c>
    </row>
    <row r="14" spans="1:11" x14ac:dyDescent="0.2">
      <c r="A14" s="16" t="s">
        <v>11</v>
      </c>
      <c r="B14" s="16" t="s">
        <v>19</v>
      </c>
      <c r="C14" s="16" t="s">
        <v>21</v>
      </c>
      <c r="D14" s="16" t="s">
        <v>14</v>
      </c>
      <c r="E14" s="17">
        <v>243</v>
      </c>
      <c r="F14" s="18">
        <v>500</v>
      </c>
      <c r="G14" s="18">
        <f t="shared" si="0"/>
        <v>121500</v>
      </c>
      <c r="H14" s="18">
        <v>1657713</v>
      </c>
      <c r="I14" s="19">
        <f t="shared" si="1"/>
        <v>7.3293748676640652E-2</v>
      </c>
      <c r="J14" s="18">
        <v>126854</v>
      </c>
      <c r="K14" s="18">
        <f t="shared" si="2"/>
        <v>-5354</v>
      </c>
    </row>
    <row r="15" spans="1:11" x14ac:dyDescent="0.2">
      <c r="A15" s="16" t="s">
        <v>11</v>
      </c>
      <c r="B15" s="16" t="s">
        <v>19</v>
      </c>
      <c r="C15" s="16" t="s">
        <v>21</v>
      </c>
      <c r="D15" s="16" t="s">
        <v>15</v>
      </c>
      <c r="E15" s="17">
        <v>371</v>
      </c>
      <c r="F15" s="18">
        <v>4999</v>
      </c>
      <c r="G15" s="18">
        <f t="shared" si="0"/>
        <v>1854629</v>
      </c>
      <c r="H15" s="18">
        <v>1258403</v>
      </c>
      <c r="I15" s="19">
        <f t="shared" si="1"/>
        <v>1.4737957554138061</v>
      </c>
      <c r="J15" s="18">
        <v>100407</v>
      </c>
      <c r="K15" s="18">
        <f t="shared" si="2"/>
        <v>1754222</v>
      </c>
    </row>
    <row r="16" spans="1:11" x14ac:dyDescent="0.2">
      <c r="A16" s="16" t="s">
        <v>11</v>
      </c>
      <c r="B16" s="16" t="s">
        <v>19</v>
      </c>
      <c r="C16" s="16" t="s">
        <v>21</v>
      </c>
      <c r="D16" s="16" t="s">
        <v>16</v>
      </c>
      <c r="E16" s="17">
        <v>85</v>
      </c>
      <c r="F16" s="18">
        <v>500</v>
      </c>
      <c r="G16" s="18">
        <f t="shared" si="0"/>
        <v>42500</v>
      </c>
      <c r="H16" s="18">
        <v>1886769</v>
      </c>
      <c r="I16" s="19">
        <f t="shared" si="1"/>
        <v>2.2525279989230266E-2</v>
      </c>
      <c r="J16" s="18">
        <v>109742</v>
      </c>
      <c r="K16" s="18">
        <f t="shared" si="2"/>
        <v>-67242</v>
      </c>
    </row>
    <row r="17" spans="1:11" x14ac:dyDescent="0.2">
      <c r="A17" s="16" t="s">
        <v>11</v>
      </c>
      <c r="B17" s="16" t="s">
        <v>19</v>
      </c>
      <c r="C17" s="16" t="s">
        <v>21</v>
      </c>
      <c r="D17" s="16" t="s">
        <v>17</v>
      </c>
      <c r="E17" s="17">
        <v>198</v>
      </c>
      <c r="F17" s="18">
        <v>500</v>
      </c>
      <c r="G17" s="18">
        <f t="shared" si="0"/>
        <v>99000</v>
      </c>
      <c r="H17" s="18">
        <v>988197</v>
      </c>
      <c r="I17" s="19">
        <f t="shared" si="1"/>
        <v>0.10018245349864451</v>
      </c>
      <c r="J17" s="18">
        <v>76476</v>
      </c>
      <c r="K17" s="18">
        <f t="shared" si="2"/>
        <v>22524</v>
      </c>
    </row>
    <row r="18" spans="1:11" x14ac:dyDescent="0.2">
      <c r="A18" s="16" t="s">
        <v>11</v>
      </c>
      <c r="B18" s="16" t="s">
        <v>22</v>
      </c>
      <c r="C18" s="16" t="s">
        <v>23</v>
      </c>
      <c r="D18" s="16" t="s">
        <v>14</v>
      </c>
      <c r="E18" s="17">
        <v>244</v>
      </c>
      <c r="F18" s="18">
        <v>1499</v>
      </c>
      <c r="G18" s="18">
        <f t="shared" si="0"/>
        <v>365756</v>
      </c>
      <c r="H18" s="18">
        <v>1450870</v>
      </c>
      <c r="I18" s="19">
        <f t="shared" si="1"/>
        <v>0.25209426068496832</v>
      </c>
      <c r="J18" s="18">
        <v>145638</v>
      </c>
      <c r="K18" s="18">
        <f t="shared" si="2"/>
        <v>220118</v>
      </c>
    </row>
    <row r="19" spans="1:11" x14ac:dyDescent="0.2">
      <c r="A19" s="16" t="s">
        <v>11</v>
      </c>
      <c r="B19" s="16" t="s">
        <v>22</v>
      </c>
      <c r="C19" s="16" t="s">
        <v>23</v>
      </c>
      <c r="D19" s="16" t="s">
        <v>15</v>
      </c>
      <c r="E19" s="17">
        <v>133</v>
      </c>
      <c r="F19" s="18">
        <v>1499</v>
      </c>
      <c r="G19" s="18">
        <f t="shared" si="0"/>
        <v>199367</v>
      </c>
      <c r="H19" s="18">
        <v>1245056</v>
      </c>
      <c r="I19" s="19">
        <f t="shared" si="1"/>
        <v>0.1601269340495528</v>
      </c>
      <c r="J19" s="18">
        <v>104921</v>
      </c>
      <c r="K19" s="18">
        <f t="shared" si="2"/>
        <v>94446</v>
      </c>
    </row>
    <row r="20" spans="1:11" x14ac:dyDescent="0.2">
      <c r="A20" s="16" t="s">
        <v>11</v>
      </c>
      <c r="B20" s="16" t="s">
        <v>22</v>
      </c>
      <c r="C20" s="16" t="s">
        <v>23</v>
      </c>
      <c r="D20" s="16" t="s">
        <v>16</v>
      </c>
      <c r="E20" s="17">
        <v>393</v>
      </c>
      <c r="F20" s="18">
        <v>1499</v>
      </c>
      <c r="G20" s="18">
        <f t="shared" si="0"/>
        <v>589107</v>
      </c>
      <c r="H20" s="18">
        <v>1971823</v>
      </c>
      <c r="I20" s="19">
        <f t="shared" si="1"/>
        <v>0.29876261713145652</v>
      </c>
      <c r="J20" s="18">
        <v>68717</v>
      </c>
      <c r="K20" s="18">
        <f t="shared" si="2"/>
        <v>520390</v>
      </c>
    </row>
    <row r="21" spans="1:11" x14ac:dyDescent="0.2">
      <c r="A21" s="16" t="s">
        <v>11</v>
      </c>
      <c r="B21" s="16" t="s">
        <v>22</v>
      </c>
      <c r="C21" s="16" t="s">
        <v>23</v>
      </c>
      <c r="D21" s="16" t="s">
        <v>17</v>
      </c>
      <c r="E21" s="17">
        <v>361</v>
      </c>
      <c r="F21" s="18">
        <v>999</v>
      </c>
      <c r="G21" s="18">
        <f t="shared" si="0"/>
        <v>360639</v>
      </c>
      <c r="H21" s="18">
        <v>1620172</v>
      </c>
      <c r="I21" s="19">
        <f t="shared" si="1"/>
        <v>0.22259303333226349</v>
      </c>
      <c r="J21" s="18">
        <v>114175</v>
      </c>
      <c r="K21" s="18">
        <f t="shared" si="2"/>
        <v>246464</v>
      </c>
    </row>
    <row r="22" spans="1:11" x14ac:dyDescent="0.2">
      <c r="A22" s="16" t="s">
        <v>11</v>
      </c>
      <c r="B22" s="16" t="s">
        <v>22</v>
      </c>
      <c r="C22" s="16" t="s">
        <v>24</v>
      </c>
      <c r="D22" s="16" t="s">
        <v>14</v>
      </c>
      <c r="E22" s="17">
        <v>133</v>
      </c>
      <c r="F22" s="18">
        <v>2499</v>
      </c>
      <c r="G22" s="18">
        <f t="shared" si="0"/>
        <v>332367</v>
      </c>
      <c r="H22" s="18">
        <v>1295775</v>
      </c>
      <c r="I22" s="19">
        <f t="shared" si="1"/>
        <v>0.25650054986398102</v>
      </c>
      <c r="J22" s="18">
        <v>120765</v>
      </c>
      <c r="K22" s="18">
        <f t="shared" si="2"/>
        <v>211602</v>
      </c>
    </row>
    <row r="23" spans="1:11" x14ac:dyDescent="0.2">
      <c r="A23" s="16" t="s">
        <v>11</v>
      </c>
      <c r="B23" s="16" t="s">
        <v>22</v>
      </c>
      <c r="C23" s="16" t="s">
        <v>24</v>
      </c>
      <c r="D23" s="16" t="s">
        <v>15</v>
      </c>
      <c r="E23" s="17">
        <v>377</v>
      </c>
      <c r="F23" s="18">
        <v>4999</v>
      </c>
      <c r="G23" s="18">
        <f t="shared" si="0"/>
        <v>1884623</v>
      </c>
      <c r="H23" s="18">
        <v>960566</v>
      </c>
      <c r="I23" s="19">
        <f t="shared" si="1"/>
        <v>1.9619922004318286</v>
      </c>
      <c r="J23" s="18">
        <v>135008</v>
      </c>
      <c r="K23" s="18">
        <f t="shared" si="2"/>
        <v>1749615</v>
      </c>
    </row>
    <row r="24" spans="1:11" x14ac:dyDescent="0.2">
      <c r="A24" s="16" t="s">
        <v>11</v>
      </c>
      <c r="B24" s="16" t="s">
        <v>22</v>
      </c>
      <c r="C24" s="16" t="s">
        <v>24</v>
      </c>
      <c r="D24" s="16" t="s">
        <v>16</v>
      </c>
      <c r="E24" s="17">
        <v>78</v>
      </c>
      <c r="F24" s="18">
        <v>999</v>
      </c>
      <c r="G24" s="18">
        <f t="shared" si="0"/>
        <v>77922</v>
      </c>
      <c r="H24" s="18">
        <v>567319</v>
      </c>
      <c r="I24" s="19">
        <f t="shared" si="1"/>
        <v>0.13735129618433367</v>
      </c>
      <c r="J24" s="18">
        <v>132694</v>
      </c>
      <c r="K24" s="18">
        <f t="shared" si="2"/>
        <v>-54772</v>
      </c>
    </row>
    <row r="25" spans="1:11" x14ac:dyDescent="0.2">
      <c r="A25" s="16" t="s">
        <v>11</v>
      </c>
      <c r="B25" s="16" t="s">
        <v>22</v>
      </c>
      <c r="C25" s="16" t="s">
        <v>24</v>
      </c>
      <c r="D25" s="16" t="s">
        <v>17</v>
      </c>
      <c r="E25" s="17">
        <v>255</v>
      </c>
      <c r="F25" s="18">
        <v>1499</v>
      </c>
      <c r="G25" s="18">
        <f t="shared" si="0"/>
        <v>382245</v>
      </c>
      <c r="H25" s="18">
        <v>638807</v>
      </c>
      <c r="I25" s="19">
        <f t="shared" si="1"/>
        <v>0.59837321757588757</v>
      </c>
      <c r="J25" s="18">
        <v>105307</v>
      </c>
      <c r="K25" s="18">
        <f t="shared" si="2"/>
        <v>276938</v>
      </c>
    </row>
    <row r="26" spans="1:11" x14ac:dyDescent="0.2">
      <c r="A26" s="16" t="s">
        <v>11</v>
      </c>
      <c r="B26" s="16" t="s">
        <v>25</v>
      </c>
      <c r="C26" s="16" t="s">
        <v>26</v>
      </c>
      <c r="D26" s="16" t="s">
        <v>14</v>
      </c>
      <c r="E26" s="17">
        <v>340</v>
      </c>
      <c r="F26" s="18">
        <v>1499</v>
      </c>
      <c r="G26" s="18">
        <f t="shared" si="0"/>
        <v>509660</v>
      </c>
      <c r="H26" s="18">
        <v>945910</v>
      </c>
      <c r="I26" s="19">
        <f t="shared" si="1"/>
        <v>0.53880390311974713</v>
      </c>
      <c r="J26" s="18">
        <v>180870</v>
      </c>
      <c r="K26" s="18">
        <f t="shared" si="2"/>
        <v>328790</v>
      </c>
    </row>
    <row r="27" spans="1:11" x14ac:dyDescent="0.2">
      <c r="A27" s="16" t="s">
        <v>11</v>
      </c>
      <c r="B27" s="16" t="s">
        <v>25</v>
      </c>
      <c r="C27" s="16" t="s">
        <v>26</v>
      </c>
      <c r="D27" s="16" t="s">
        <v>15</v>
      </c>
      <c r="E27" s="17">
        <v>252</v>
      </c>
      <c r="F27" s="18">
        <v>2499</v>
      </c>
      <c r="G27" s="18">
        <f t="shared" si="0"/>
        <v>629748</v>
      </c>
      <c r="H27" s="18">
        <v>799623</v>
      </c>
      <c r="I27" s="19">
        <f t="shared" si="1"/>
        <v>0.78755613582900941</v>
      </c>
      <c r="J27" s="18">
        <v>119436</v>
      </c>
      <c r="K27" s="18">
        <f t="shared" si="2"/>
        <v>510312</v>
      </c>
    </row>
    <row r="28" spans="1:11" x14ac:dyDescent="0.2">
      <c r="A28" s="16" t="s">
        <v>11</v>
      </c>
      <c r="B28" s="16" t="s">
        <v>25</v>
      </c>
      <c r="C28" s="16" t="s">
        <v>26</v>
      </c>
      <c r="D28" s="16" t="s">
        <v>16</v>
      </c>
      <c r="E28" s="17">
        <v>121</v>
      </c>
      <c r="F28" s="18">
        <v>999</v>
      </c>
      <c r="G28" s="18">
        <f t="shared" si="0"/>
        <v>120879</v>
      </c>
      <c r="H28" s="18">
        <v>1677274</v>
      </c>
      <c r="I28" s="19">
        <f t="shared" si="1"/>
        <v>7.2068725801508873E-2</v>
      </c>
      <c r="J28" s="18">
        <v>191289</v>
      </c>
      <c r="K28" s="18">
        <f t="shared" si="2"/>
        <v>-70410</v>
      </c>
    </row>
    <row r="29" spans="1:11" x14ac:dyDescent="0.2">
      <c r="A29" s="16" t="s">
        <v>11</v>
      </c>
      <c r="B29" s="16" t="s">
        <v>25</v>
      </c>
      <c r="C29" s="16" t="s">
        <v>26</v>
      </c>
      <c r="D29" s="16" t="s">
        <v>17</v>
      </c>
      <c r="E29" s="17">
        <v>184</v>
      </c>
      <c r="F29" s="18">
        <v>4999</v>
      </c>
      <c r="G29" s="18">
        <f t="shared" si="0"/>
        <v>919816</v>
      </c>
      <c r="H29" s="18">
        <v>1398490</v>
      </c>
      <c r="I29" s="19">
        <f t="shared" si="1"/>
        <v>0.65772082746390748</v>
      </c>
      <c r="J29" s="18">
        <v>154700</v>
      </c>
      <c r="K29" s="18">
        <f t="shared" si="2"/>
        <v>765116</v>
      </c>
    </row>
    <row r="30" spans="1:11" x14ac:dyDescent="0.2">
      <c r="A30" s="16" t="s">
        <v>11</v>
      </c>
      <c r="B30" s="16" t="s">
        <v>25</v>
      </c>
      <c r="C30" s="16" t="s">
        <v>27</v>
      </c>
      <c r="D30" s="16" t="s">
        <v>14</v>
      </c>
      <c r="E30" s="17">
        <v>235</v>
      </c>
      <c r="F30" s="18">
        <v>999</v>
      </c>
      <c r="G30" s="18">
        <f t="shared" si="0"/>
        <v>234765</v>
      </c>
      <c r="H30" s="18">
        <v>790102</v>
      </c>
      <c r="I30" s="19">
        <f t="shared" si="1"/>
        <v>0.29713252213005409</v>
      </c>
      <c r="J30" s="18">
        <v>183569</v>
      </c>
      <c r="K30" s="18">
        <f t="shared" si="2"/>
        <v>51196</v>
      </c>
    </row>
    <row r="31" spans="1:11" x14ac:dyDescent="0.2">
      <c r="A31" s="16" t="s">
        <v>11</v>
      </c>
      <c r="B31" s="16" t="s">
        <v>25</v>
      </c>
      <c r="C31" s="16" t="s">
        <v>27</v>
      </c>
      <c r="D31" s="16" t="s">
        <v>15</v>
      </c>
      <c r="E31" s="17">
        <v>302</v>
      </c>
      <c r="F31" s="18">
        <v>500</v>
      </c>
      <c r="G31" s="18">
        <f t="shared" si="0"/>
        <v>151000</v>
      </c>
      <c r="H31" s="18">
        <v>598810</v>
      </c>
      <c r="I31" s="19">
        <f t="shared" si="1"/>
        <v>0.25216679748167198</v>
      </c>
      <c r="J31" s="18">
        <v>78743</v>
      </c>
      <c r="K31" s="18">
        <f t="shared" si="2"/>
        <v>72257</v>
      </c>
    </row>
    <row r="32" spans="1:11" x14ac:dyDescent="0.2">
      <c r="A32" s="16" t="s">
        <v>11</v>
      </c>
      <c r="B32" s="16" t="s">
        <v>25</v>
      </c>
      <c r="C32" s="16" t="s">
        <v>27</v>
      </c>
      <c r="D32" s="16" t="s">
        <v>16</v>
      </c>
      <c r="E32" s="17">
        <v>128</v>
      </c>
      <c r="F32" s="18">
        <v>999</v>
      </c>
      <c r="G32" s="18">
        <f t="shared" si="0"/>
        <v>127872</v>
      </c>
      <c r="H32" s="18">
        <v>1927072</v>
      </c>
      <c r="I32" s="19">
        <f t="shared" si="1"/>
        <v>6.6355590242606399E-2</v>
      </c>
      <c r="J32" s="18">
        <v>160666</v>
      </c>
      <c r="K32" s="18">
        <f t="shared" si="2"/>
        <v>-32794</v>
      </c>
    </row>
    <row r="33" spans="1:11" x14ac:dyDescent="0.2">
      <c r="A33" s="16" t="s">
        <v>11</v>
      </c>
      <c r="B33" s="16" t="s">
        <v>25</v>
      </c>
      <c r="C33" s="16" t="s">
        <v>27</v>
      </c>
      <c r="D33" s="16" t="s">
        <v>17</v>
      </c>
      <c r="E33" s="17">
        <v>355</v>
      </c>
      <c r="F33" s="18">
        <v>500</v>
      </c>
      <c r="G33" s="18">
        <f t="shared" si="0"/>
        <v>177500</v>
      </c>
      <c r="H33" s="18">
        <v>1306915</v>
      </c>
      <c r="I33" s="19">
        <f t="shared" si="1"/>
        <v>0.13581602476060034</v>
      </c>
      <c r="J33" s="18">
        <v>150039</v>
      </c>
      <c r="K33" s="18">
        <f t="shared" si="2"/>
        <v>27461</v>
      </c>
    </row>
    <row r="34" spans="1:11" x14ac:dyDescent="0.2">
      <c r="A34" s="16" t="s">
        <v>28</v>
      </c>
      <c r="B34" s="16" t="s">
        <v>12</v>
      </c>
      <c r="C34" s="16" t="s">
        <v>13</v>
      </c>
      <c r="D34" s="16" t="s">
        <v>14</v>
      </c>
      <c r="E34" s="17">
        <v>355</v>
      </c>
      <c r="F34" s="18">
        <v>2499</v>
      </c>
      <c r="G34" s="18">
        <f t="shared" si="0"/>
        <v>887145</v>
      </c>
      <c r="H34" s="18">
        <v>1609633</v>
      </c>
      <c r="I34" s="19">
        <f t="shared" si="1"/>
        <v>0.55114737334535269</v>
      </c>
      <c r="J34" s="18">
        <v>115906</v>
      </c>
      <c r="K34" s="18">
        <f t="shared" si="2"/>
        <v>771239</v>
      </c>
    </row>
    <row r="35" spans="1:11" x14ac:dyDescent="0.2">
      <c r="A35" s="16" t="s">
        <v>28</v>
      </c>
      <c r="B35" s="16" t="s">
        <v>12</v>
      </c>
      <c r="C35" s="16" t="s">
        <v>13</v>
      </c>
      <c r="D35" s="16" t="s">
        <v>15</v>
      </c>
      <c r="E35" s="17">
        <v>333</v>
      </c>
      <c r="F35" s="18">
        <v>500</v>
      </c>
      <c r="G35" s="18">
        <f t="shared" si="0"/>
        <v>166500</v>
      </c>
      <c r="H35" s="18">
        <v>1926657</v>
      </c>
      <c r="I35" s="19">
        <f t="shared" si="1"/>
        <v>8.6419118711841283E-2</v>
      </c>
      <c r="J35" s="18">
        <v>80029</v>
      </c>
      <c r="K35" s="18">
        <f t="shared" si="2"/>
        <v>86471</v>
      </c>
    </row>
    <row r="36" spans="1:11" x14ac:dyDescent="0.2">
      <c r="A36" s="16" t="s">
        <v>28</v>
      </c>
      <c r="B36" s="16" t="s">
        <v>12</v>
      </c>
      <c r="C36" s="16" t="s">
        <v>13</v>
      </c>
      <c r="D36" s="16" t="s">
        <v>16</v>
      </c>
      <c r="E36" s="17">
        <v>399</v>
      </c>
      <c r="F36" s="18">
        <v>4999</v>
      </c>
      <c r="G36" s="18">
        <f t="shared" si="0"/>
        <v>1994601</v>
      </c>
      <c r="H36" s="18">
        <v>1059572</v>
      </c>
      <c r="I36" s="19">
        <f t="shared" si="1"/>
        <v>1.8824591438807368</v>
      </c>
      <c r="J36" s="18">
        <v>139174</v>
      </c>
      <c r="K36" s="18">
        <f t="shared" si="2"/>
        <v>1855427</v>
      </c>
    </row>
    <row r="37" spans="1:11" x14ac:dyDescent="0.2">
      <c r="A37" s="16" t="s">
        <v>28</v>
      </c>
      <c r="B37" s="16" t="s">
        <v>12</v>
      </c>
      <c r="C37" s="16" t="s">
        <v>13</v>
      </c>
      <c r="D37" s="16" t="s">
        <v>17</v>
      </c>
      <c r="E37" s="17">
        <v>107</v>
      </c>
      <c r="F37" s="18">
        <v>1499</v>
      </c>
      <c r="G37" s="18">
        <f t="shared" si="0"/>
        <v>160393</v>
      </c>
      <c r="H37" s="18">
        <v>1411768</v>
      </c>
      <c r="I37" s="19">
        <f t="shared" si="1"/>
        <v>0.11361144323996578</v>
      </c>
      <c r="J37" s="18">
        <v>91460</v>
      </c>
      <c r="K37" s="18">
        <f t="shared" si="2"/>
        <v>68933</v>
      </c>
    </row>
    <row r="38" spans="1:11" x14ac:dyDescent="0.2">
      <c r="A38" s="16" t="s">
        <v>28</v>
      </c>
      <c r="B38" s="16" t="s">
        <v>12</v>
      </c>
      <c r="C38" s="16" t="s">
        <v>18</v>
      </c>
      <c r="D38" s="16" t="s">
        <v>14</v>
      </c>
      <c r="E38" s="17">
        <v>282</v>
      </c>
      <c r="F38" s="18">
        <v>500</v>
      </c>
      <c r="G38" s="18">
        <f t="shared" si="0"/>
        <v>141000</v>
      </c>
      <c r="H38" s="18">
        <v>1052366</v>
      </c>
      <c r="I38" s="19">
        <f t="shared" si="1"/>
        <v>0.13398380411377792</v>
      </c>
      <c r="J38" s="18">
        <v>181225</v>
      </c>
      <c r="K38" s="18">
        <f t="shared" si="2"/>
        <v>-40225</v>
      </c>
    </row>
    <row r="39" spans="1:11" x14ac:dyDescent="0.2">
      <c r="A39" s="16" t="s">
        <v>28</v>
      </c>
      <c r="B39" s="16" t="s">
        <v>12</v>
      </c>
      <c r="C39" s="16" t="s">
        <v>18</v>
      </c>
      <c r="D39" s="16" t="s">
        <v>15</v>
      </c>
      <c r="E39" s="17">
        <v>141</v>
      </c>
      <c r="F39" s="18">
        <v>4999</v>
      </c>
      <c r="G39" s="18">
        <f t="shared" si="0"/>
        <v>704859</v>
      </c>
      <c r="H39" s="18">
        <v>723159</v>
      </c>
      <c r="I39" s="19">
        <f t="shared" si="1"/>
        <v>0.97469436182084435</v>
      </c>
      <c r="J39" s="18">
        <v>128235</v>
      </c>
      <c r="K39" s="18">
        <f t="shared" si="2"/>
        <v>576624</v>
      </c>
    </row>
    <row r="40" spans="1:11" x14ac:dyDescent="0.2">
      <c r="A40" s="16" t="s">
        <v>28</v>
      </c>
      <c r="B40" s="16" t="s">
        <v>12</v>
      </c>
      <c r="C40" s="16" t="s">
        <v>18</v>
      </c>
      <c r="D40" s="16" t="s">
        <v>16</v>
      </c>
      <c r="E40" s="17">
        <v>377</v>
      </c>
      <c r="F40" s="18">
        <v>4999</v>
      </c>
      <c r="G40" s="18">
        <f t="shared" si="0"/>
        <v>1884623</v>
      </c>
      <c r="H40" s="18">
        <v>1777103</v>
      </c>
      <c r="I40" s="19">
        <f t="shared" si="1"/>
        <v>1.0605029646565225</v>
      </c>
      <c r="J40" s="18">
        <v>102143</v>
      </c>
      <c r="K40" s="18">
        <f t="shared" si="2"/>
        <v>1782480</v>
      </c>
    </row>
    <row r="41" spans="1:11" x14ac:dyDescent="0.2">
      <c r="A41" s="16" t="s">
        <v>28</v>
      </c>
      <c r="B41" s="16" t="s">
        <v>12</v>
      </c>
      <c r="C41" s="16" t="s">
        <v>18</v>
      </c>
      <c r="D41" s="16" t="s">
        <v>17</v>
      </c>
      <c r="E41" s="17">
        <v>128</v>
      </c>
      <c r="F41" s="18">
        <v>1499</v>
      </c>
      <c r="G41" s="18">
        <f t="shared" si="0"/>
        <v>191872</v>
      </c>
      <c r="H41" s="18">
        <v>838792</v>
      </c>
      <c r="I41" s="19">
        <f t="shared" si="1"/>
        <v>0.22874800904157408</v>
      </c>
      <c r="J41" s="18">
        <v>191394</v>
      </c>
      <c r="K41" s="18">
        <f t="shared" si="2"/>
        <v>478</v>
      </c>
    </row>
    <row r="42" spans="1:11" x14ac:dyDescent="0.2">
      <c r="A42" s="16" t="s">
        <v>28</v>
      </c>
      <c r="B42" s="16" t="s">
        <v>19</v>
      </c>
      <c r="C42" s="16" t="s">
        <v>20</v>
      </c>
      <c r="D42" s="16" t="s">
        <v>14</v>
      </c>
      <c r="E42" s="17">
        <v>321</v>
      </c>
      <c r="F42" s="18">
        <v>500</v>
      </c>
      <c r="G42" s="18">
        <f t="shared" si="0"/>
        <v>160500</v>
      </c>
      <c r="H42" s="18">
        <v>1756077</v>
      </c>
      <c r="I42" s="19">
        <f t="shared" si="1"/>
        <v>9.1396903438744431E-2</v>
      </c>
      <c r="J42" s="18">
        <v>134975</v>
      </c>
      <c r="K42" s="18">
        <f t="shared" si="2"/>
        <v>25525</v>
      </c>
    </row>
    <row r="43" spans="1:11" x14ac:dyDescent="0.2">
      <c r="A43" s="16" t="s">
        <v>28</v>
      </c>
      <c r="B43" s="16" t="s">
        <v>19</v>
      </c>
      <c r="C43" s="16" t="s">
        <v>20</v>
      </c>
      <c r="D43" s="16" t="s">
        <v>15</v>
      </c>
      <c r="E43" s="17">
        <v>300</v>
      </c>
      <c r="F43" s="18">
        <v>500</v>
      </c>
      <c r="G43" s="18">
        <f t="shared" si="0"/>
        <v>150000</v>
      </c>
      <c r="H43" s="18">
        <v>734603</v>
      </c>
      <c r="I43" s="19">
        <f t="shared" si="1"/>
        <v>0.20419192407327497</v>
      </c>
      <c r="J43" s="18">
        <v>145153</v>
      </c>
      <c r="K43" s="18">
        <f t="shared" si="2"/>
        <v>4847</v>
      </c>
    </row>
    <row r="44" spans="1:11" x14ac:dyDescent="0.2">
      <c r="A44" s="16" t="s">
        <v>28</v>
      </c>
      <c r="B44" s="16" t="s">
        <v>19</v>
      </c>
      <c r="C44" s="16" t="s">
        <v>20</v>
      </c>
      <c r="D44" s="16" t="s">
        <v>16</v>
      </c>
      <c r="E44" s="17">
        <v>207</v>
      </c>
      <c r="F44" s="18">
        <v>999</v>
      </c>
      <c r="G44" s="18">
        <f t="shared" si="0"/>
        <v>206793</v>
      </c>
      <c r="H44" s="18">
        <v>621477</v>
      </c>
      <c r="I44" s="19">
        <f t="shared" si="1"/>
        <v>0.33274441371120733</v>
      </c>
      <c r="J44" s="18">
        <v>113143</v>
      </c>
      <c r="K44" s="18">
        <f t="shared" si="2"/>
        <v>93650</v>
      </c>
    </row>
    <row r="45" spans="1:11" x14ac:dyDescent="0.2">
      <c r="A45" s="16" t="s">
        <v>28</v>
      </c>
      <c r="B45" s="16" t="s">
        <v>19</v>
      </c>
      <c r="C45" s="16" t="s">
        <v>20</v>
      </c>
      <c r="D45" s="16" t="s">
        <v>17</v>
      </c>
      <c r="E45" s="17">
        <v>340</v>
      </c>
      <c r="F45" s="18">
        <v>500</v>
      </c>
      <c r="G45" s="18">
        <f t="shared" si="0"/>
        <v>170000</v>
      </c>
      <c r="H45" s="18">
        <v>679628</v>
      </c>
      <c r="I45" s="19">
        <f t="shared" si="1"/>
        <v>0.25013683956517391</v>
      </c>
      <c r="J45" s="18">
        <v>177399</v>
      </c>
      <c r="K45" s="18">
        <f t="shared" si="2"/>
        <v>-7399</v>
      </c>
    </row>
    <row r="46" spans="1:11" x14ac:dyDescent="0.2">
      <c r="A46" s="16" t="s">
        <v>28</v>
      </c>
      <c r="B46" s="16" t="s">
        <v>19</v>
      </c>
      <c r="C46" s="16" t="s">
        <v>21</v>
      </c>
      <c r="D46" s="16" t="s">
        <v>14</v>
      </c>
      <c r="E46" s="17">
        <v>85</v>
      </c>
      <c r="F46" s="18">
        <v>4999</v>
      </c>
      <c r="G46" s="18">
        <f t="shared" si="0"/>
        <v>424915</v>
      </c>
      <c r="H46" s="18">
        <v>763738</v>
      </c>
      <c r="I46" s="19">
        <f t="shared" si="1"/>
        <v>0.55636226035630021</v>
      </c>
      <c r="J46" s="18">
        <v>83657</v>
      </c>
      <c r="K46" s="18">
        <f t="shared" si="2"/>
        <v>341258</v>
      </c>
    </row>
    <row r="47" spans="1:11" x14ac:dyDescent="0.2">
      <c r="A47" s="16" t="s">
        <v>28</v>
      </c>
      <c r="B47" s="16" t="s">
        <v>19</v>
      </c>
      <c r="C47" s="16" t="s">
        <v>21</v>
      </c>
      <c r="D47" s="16" t="s">
        <v>15</v>
      </c>
      <c r="E47" s="17">
        <v>387</v>
      </c>
      <c r="F47" s="18">
        <v>2499</v>
      </c>
      <c r="G47" s="18">
        <f t="shared" si="0"/>
        <v>967113</v>
      </c>
      <c r="H47" s="18">
        <v>1653021</v>
      </c>
      <c r="I47" s="19">
        <f t="shared" si="1"/>
        <v>0.58505790307564154</v>
      </c>
      <c r="J47" s="18">
        <v>93287</v>
      </c>
      <c r="K47" s="18">
        <f t="shared" si="2"/>
        <v>873826</v>
      </c>
    </row>
    <row r="48" spans="1:11" x14ac:dyDescent="0.2">
      <c r="A48" s="16" t="s">
        <v>28</v>
      </c>
      <c r="B48" s="16" t="s">
        <v>19</v>
      </c>
      <c r="C48" s="16" t="s">
        <v>21</v>
      </c>
      <c r="D48" s="16" t="s">
        <v>16</v>
      </c>
      <c r="E48" s="17">
        <v>185</v>
      </c>
      <c r="F48" s="18">
        <v>4999</v>
      </c>
      <c r="G48" s="18">
        <f t="shared" si="0"/>
        <v>924815</v>
      </c>
      <c r="H48" s="18">
        <v>1772119</v>
      </c>
      <c r="I48" s="19">
        <f t="shared" si="1"/>
        <v>0.52186958099315006</v>
      </c>
      <c r="J48" s="18">
        <v>160923</v>
      </c>
      <c r="K48" s="18">
        <f t="shared" si="2"/>
        <v>763892</v>
      </c>
    </row>
    <row r="49" spans="1:11" x14ac:dyDescent="0.2">
      <c r="A49" s="16" t="s">
        <v>28</v>
      </c>
      <c r="B49" s="16" t="s">
        <v>19</v>
      </c>
      <c r="C49" s="16" t="s">
        <v>21</v>
      </c>
      <c r="D49" s="16" t="s">
        <v>17</v>
      </c>
      <c r="E49" s="17">
        <v>158</v>
      </c>
      <c r="F49" s="18">
        <v>4999</v>
      </c>
      <c r="G49" s="18">
        <f t="shared" si="0"/>
        <v>789842</v>
      </c>
      <c r="H49" s="18">
        <v>1946757</v>
      </c>
      <c r="I49" s="19">
        <f t="shared" si="1"/>
        <v>0.4057219262599287</v>
      </c>
      <c r="J49" s="18">
        <v>102730</v>
      </c>
      <c r="K49" s="18">
        <f t="shared" si="2"/>
        <v>687112</v>
      </c>
    </row>
    <row r="50" spans="1:11" x14ac:dyDescent="0.2">
      <c r="A50" s="16" t="s">
        <v>28</v>
      </c>
      <c r="B50" s="16" t="s">
        <v>22</v>
      </c>
      <c r="C50" s="16" t="s">
        <v>23</v>
      </c>
      <c r="D50" s="16" t="s">
        <v>14</v>
      </c>
      <c r="E50" s="17">
        <v>209</v>
      </c>
      <c r="F50" s="18">
        <v>2499</v>
      </c>
      <c r="G50" s="18">
        <f t="shared" si="0"/>
        <v>522291</v>
      </c>
      <c r="H50" s="18">
        <v>1908629</v>
      </c>
      <c r="I50" s="19">
        <f t="shared" si="1"/>
        <v>0.27364720959390221</v>
      </c>
      <c r="J50" s="18">
        <v>147889</v>
      </c>
      <c r="K50" s="18">
        <f t="shared" si="2"/>
        <v>374402</v>
      </c>
    </row>
    <row r="51" spans="1:11" x14ac:dyDescent="0.2">
      <c r="A51" s="16" t="s">
        <v>28</v>
      </c>
      <c r="B51" s="16" t="s">
        <v>22</v>
      </c>
      <c r="C51" s="16" t="s">
        <v>23</v>
      </c>
      <c r="D51" s="16" t="s">
        <v>15</v>
      </c>
      <c r="E51" s="17">
        <v>274</v>
      </c>
      <c r="F51" s="18">
        <v>4999</v>
      </c>
      <c r="G51" s="18">
        <f t="shared" si="0"/>
        <v>1369726</v>
      </c>
      <c r="H51" s="18">
        <v>1446835</v>
      </c>
      <c r="I51" s="19">
        <f t="shared" si="1"/>
        <v>0.94670504929725918</v>
      </c>
      <c r="J51" s="18">
        <v>81720</v>
      </c>
      <c r="K51" s="18">
        <f t="shared" si="2"/>
        <v>1288006</v>
      </c>
    </row>
    <row r="52" spans="1:11" x14ac:dyDescent="0.2">
      <c r="A52" s="16" t="s">
        <v>28</v>
      </c>
      <c r="B52" s="16" t="s">
        <v>22</v>
      </c>
      <c r="C52" s="16" t="s">
        <v>23</v>
      </c>
      <c r="D52" s="16" t="s">
        <v>16</v>
      </c>
      <c r="E52" s="17">
        <v>176</v>
      </c>
      <c r="F52" s="18">
        <v>999</v>
      </c>
      <c r="G52" s="18">
        <f t="shared" si="0"/>
        <v>175824</v>
      </c>
      <c r="H52" s="18">
        <v>634272</v>
      </c>
      <c r="I52" s="19">
        <f t="shared" si="1"/>
        <v>0.27720599364310577</v>
      </c>
      <c r="J52" s="18">
        <v>138627</v>
      </c>
      <c r="K52" s="18">
        <f t="shared" si="2"/>
        <v>37197</v>
      </c>
    </row>
    <row r="53" spans="1:11" x14ac:dyDescent="0.2">
      <c r="A53" s="16" t="s">
        <v>28</v>
      </c>
      <c r="B53" s="16" t="s">
        <v>22</v>
      </c>
      <c r="C53" s="16" t="s">
        <v>23</v>
      </c>
      <c r="D53" s="16" t="s">
        <v>17</v>
      </c>
      <c r="E53" s="17">
        <v>60</v>
      </c>
      <c r="F53" s="18">
        <v>4999</v>
      </c>
      <c r="G53" s="18">
        <f t="shared" si="0"/>
        <v>299940</v>
      </c>
      <c r="H53" s="18">
        <v>1661657</v>
      </c>
      <c r="I53" s="19">
        <f t="shared" si="1"/>
        <v>0.18050656663800049</v>
      </c>
      <c r="J53" s="18">
        <v>110323</v>
      </c>
      <c r="K53" s="18">
        <f t="shared" si="2"/>
        <v>189617</v>
      </c>
    </row>
    <row r="54" spans="1:11" x14ac:dyDescent="0.2">
      <c r="A54" s="16" t="s">
        <v>28</v>
      </c>
      <c r="B54" s="16" t="s">
        <v>22</v>
      </c>
      <c r="C54" s="16" t="s">
        <v>24</v>
      </c>
      <c r="D54" s="16" t="s">
        <v>14</v>
      </c>
      <c r="E54" s="17">
        <v>351</v>
      </c>
      <c r="F54" s="18">
        <v>999</v>
      </c>
      <c r="G54" s="18">
        <f t="shared" si="0"/>
        <v>350649</v>
      </c>
      <c r="H54" s="18">
        <v>515080</v>
      </c>
      <c r="I54" s="19">
        <f t="shared" si="1"/>
        <v>0.68076609458724857</v>
      </c>
      <c r="J54" s="18">
        <v>68610</v>
      </c>
      <c r="K54" s="18">
        <f t="shared" si="2"/>
        <v>282039</v>
      </c>
    </row>
    <row r="55" spans="1:11" x14ac:dyDescent="0.2">
      <c r="A55" s="16" t="s">
        <v>28</v>
      </c>
      <c r="B55" s="16" t="s">
        <v>22</v>
      </c>
      <c r="C55" s="16" t="s">
        <v>24</v>
      </c>
      <c r="D55" s="16" t="s">
        <v>15</v>
      </c>
      <c r="E55" s="17">
        <v>373</v>
      </c>
      <c r="F55" s="18">
        <v>500</v>
      </c>
      <c r="G55" s="18">
        <f t="shared" si="0"/>
        <v>186500</v>
      </c>
      <c r="H55" s="18">
        <v>980125</v>
      </c>
      <c r="I55" s="19">
        <f t="shared" si="1"/>
        <v>0.19028185180461676</v>
      </c>
      <c r="J55" s="18">
        <v>67668</v>
      </c>
      <c r="K55" s="18">
        <f t="shared" si="2"/>
        <v>118832</v>
      </c>
    </row>
    <row r="56" spans="1:11" x14ac:dyDescent="0.2">
      <c r="A56" s="16" t="s">
        <v>28</v>
      </c>
      <c r="B56" s="16" t="s">
        <v>22</v>
      </c>
      <c r="C56" s="16" t="s">
        <v>24</v>
      </c>
      <c r="D56" s="16" t="s">
        <v>16</v>
      </c>
      <c r="E56" s="17">
        <v>66</v>
      </c>
      <c r="F56" s="18">
        <v>1499</v>
      </c>
      <c r="G56" s="18">
        <f t="shared" si="0"/>
        <v>98934</v>
      </c>
      <c r="H56" s="18">
        <v>648598</v>
      </c>
      <c r="I56" s="19">
        <f t="shared" si="1"/>
        <v>0.15253516045377877</v>
      </c>
      <c r="J56" s="18">
        <v>184782</v>
      </c>
      <c r="K56" s="18">
        <f t="shared" si="2"/>
        <v>-85848</v>
      </c>
    </row>
    <row r="57" spans="1:11" x14ac:dyDescent="0.2">
      <c r="A57" s="16" t="s">
        <v>28</v>
      </c>
      <c r="B57" s="16" t="s">
        <v>22</v>
      </c>
      <c r="C57" s="16" t="s">
        <v>24</v>
      </c>
      <c r="D57" s="16" t="s">
        <v>17</v>
      </c>
      <c r="E57" s="17">
        <v>171</v>
      </c>
      <c r="F57" s="18">
        <v>1499</v>
      </c>
      <c r="G57" s="18">
        <f t="shared" si="0"/>
        <v>256329</v>
      </c>
      <c r="H57" s="18">
        <v>1902948</v>
      </c>
      <c r="I57" s="19">
        <f t="shared" si="1"/>
        <v>0.13470100076302663</v>
      </c>
      <c r="J57" s="18">
        <v>177248</v>
      </c>
      <c r="K57" s="18">
        <f t="shared" si="2"/>
        <v>79081</v>
      </c>
    </row>
    <row r="58" spans="1:11" x14ac:dyDescent="0.2">
      <c r="A58" s="16" t="s">
        <v>28</v>
      </c>
      <c r="B58" s="16" t="s">
        <v>25</v>
      </c>
      <c r="C58" s="16" t="s">
        <v>26</v>
      </c>
      <c r="D58" s="16" t="s">
        <v>14</v>
      </c>
      <c r="E58" s="17">
        <v>159</v>
      </c>
      <c r="F58" s="18">
        <v>4999</v>
      </c>
      <c r="G58" s="18">
        <f t="shared" si="0"/>
        <v>794841</v>
      </c>
      <c r="H58" s="18">
        <v>777478</v>
      </c>
      <c r="I58" s="19">
        <f t="shared" si="1"/>
        <v>1.0223324647128278</v>
      </c>
      <c r="J58" s="18">
        <v>199695</v>
      </c>
      <c r="K58" s="18">
        <f t="shared" si="2"/>
        <v>595146</v>
      </c>
    </row>
    <row r="59" spans="1:11" x14ac:dyDescent="0.2">
      <c r="A59" s="16" t="s">
        <v>28</v>
      </c>
      <c r="B59" s="16" t="s">
        <v>25</v>
      </c>
      <c r="C59" s="16" t="s">
        <v>26</v>
      </c>
      <c r="D59" s="16" t="s">
        <v>15</v>
      </c>
      <c r="E59" s="17">
        <v>345</v>
      </c>
      <c r="F59" s="18">
        <v>2499</v>
      </c>
      <c r="G59" s="18">
        <f t="shared" si="0"/>
        <v>862155</v>
      </c>
      <c r="H59" s="18">
        <v>1009602</v>
      </c>
      <c r="I59" s="19">
        <f t="shared" si="1"/>
        <v>0.85395532100768423</v>
      </c>
      <c r="J59" s="18">
        <v>173987</v>
      </c>
      <c r="K59" s="18">
        <f t="shared" si="2"/>
        <v>688168</v>
      </c>
    </row>
    <row r="60" spans="1:11" x14ac:dyDescent="0.2">
      <c r="A60" s="16" t="s">
        <v>28</v>
      </c>
      <c r="B60" s="16" t="s">
        <v>25</v>
      </c>
      <c r="C60" s="16" t="s">
        <v>26</v>
      </c>
      <c r="D60" s="16" t="s">
        <v>16</v>
      </c>
      <c r="E60" s="17">
        <v>258</v>
      </c>
      <c r="F60" s="18">
        <v>999</v>
      </c>
      <c r="G60" s="18">
        <f t="shared" si="0"/>
        <v>257742</v>
      </c>
      <c r="H60" s="18">
        <v>697815</v>
      </c>
      <c r="I60" s="19">
        <f t="shared" si="1"/>
        <v>0.36935577481137549</v>
      </c>
      <c r="J60" s="18">
        <v>75409</v>
      </c>
      <c r="K60" s="18">
        <f t="shared" si="2"/>
        <v>182333</v>
      </c>
    </row>
    <row r="61" spans="1:11" x14ac:dyDescent="0.2">
      <c r="A61" s="16" t="s">
        <v>28</v>
      </c>
      <c r="B61" s="16" t="s">
        <v>25</v>
      </c>
      <c r="C61" s="16" t="s">
        <v>26</v>
      </c>
      <c r="D61" s="16" t="s">
        <v>17</v>
      </c>
      <c r="E61" s="17">
        <v>387</v>
      </c>
      <c r="F61" s="18">
        <v>2499</v>
      </c>
      <c r="G61" s="18">
        <f t="shared" si="0"/>
        <v>967113</v>
      </c>
      <c r="H61" s="18">
        <v>1243015</v>
      </c>
      <c r="I61" s="19">
        <f t="shared" si="1"/>
        <v>0.77803807677300751</v>
      </c>
      <c r="J61" s="18">
        <v>161038</v>
      </c>
      <c r="K61" s="18">
        <f t="shared" si="2"/>
        <v>806075</v>
      </c>
    </row>
    <row r="62" spans="1:11" x14ac:dyDescent="0.2">
      <c r="A62" s="16" t="s">
        <v>28</v>
      </c>
      <c r="B62" s="16" t="s">
        <v>25</v>
      </c>
      <c r="C62" s="16" t="s">
        <v>27</v>
      </c>
      <c r="D62" s="16" t="s">
        <v>14</v>
      </c>
      <c r="E62" s="17">
        <v>260</v>
      </c>
      <c r="F62" s="18">
        <v>2499</v>
      </c>
      <c r="G62" s="18">
        <f t="shared" si="0"/>
        <v>649740</v>
      </c>
      <c r="H62" s="18">
        <v>613605</v>
      </c>
      <c r="I62" s="19">
        <f t="shared" si="1"/>
        <v>1.0588896765834699</v>
      </c>
      <c r="J62" s="18">
        <v>75799</v>
      </c>
      <c r="K62" s="18">
        <f t="shared" si="2"/>
        <v>573941</v>
      </c>
    </row>
    <row r="63" spans="1:11" x14ac:dyDescent="0.2">
      <c r="A63" s="16" t="s">
        <v>28</v>
      </c>
      <c r="B63" s="16" t="s">
        <v>25</v>
      </c>
      <c r="C63" s="16" t="s">
        <v>27</v>
      </c>
      <c r="D63" s="16" t="s">
        <v>15</v>
      </c>
      <c r="E63" s="17">
        <v>81</v>
      </c>
      <c r="F63" s="18">
        <v>2499</v>
      </c>
      <c r="G63" s="18">
        <f t="shared" si="0"/>
        <v>202419</v>
      </c>
      <c r="H63" s="18">
        <v>1211569</v>
      </c>
      <c r="I63" s="19">
        <f t="shared" si="1"/>
        <v>0.16707178873015074</v>
      </c>
      <c r="J63" s="18">
        <v>78644</v>
      </c>
      <c r="K63" s="18">
        <f t="shared" si="2"/>
        <v>123775</v>
      </c>
    </row>
    <row r="64" spans="1:11" x14ac:dyDescent="0.2">
      <c r="A64" s="16" t="s">
        <v>28</v>
      </c>
      <c r="B64" s="16" t="s">
        <v>25</v>
      </c>
      <c r="C64" s="16" t="s">
        <v>27</v>
      </c>
      <c r="D64" s="16" t="s">
        <v>16</v>
      </c>
      <c r="E64" s="17">
        <v>177</v>
      </c>
      <c r="F64" s="18">
        <v>999</v>
      </c>
      <c r="G64" s="18">
        <f t="shared" si="0"/>
        <v>176823</v>
      </c>
      <c r="H64" s="18">
        <v>898896</v>
      </c>
      <c r="I64" s="19">
        <f t="shared" si="1"/>
        <v>0.19671129919367758</v>
      </c>
      <c r="J64" s="18">
        <v>190584</v>
      </c>
      <c r="K64" s="18">
        <f t="shared" si="2"/>
        <v>-13761</v>
      </c>
    </row>
    <row r="65" spans="1:11" x14ac:dyDescent="0.2">
      <c r="A65" s="16" t="s">
        <v>28</v>
      </c>
      <c r="B65" s="16" t="s">
        <v>25</v>
      </c>
      <c r="C65" s="16" t="s">
        <v>27</v>
      </c>
      <c r="D65" s="16" t="s">
        <v>17</v>
      </c>
      <c r="E65" s="17">
        <v>279</v>
      </c>
      <c r="F65" s="18">
        <v>999</v>
      </c>
      <c r="G65" s="18">
        <f t="shared" si="0"/>
        <v>278721</v>
      </c>
      <c r="H65" s="18">
        <v>1384749</v>
      </c>
      <c r="I65" s="19">
        <f t="shared" si="1"/>
        <v>0.20127907656911109</v>
      </c>
      <c r="J65" s="18">
        <v>98100</v>
      </c>
      <c r="K65" s="18">
        <f t="shared" si="2"/>
        <v>180621</v>
      </c>
    </row>
    <row r="66" spans="1:11" x14ac:dyDescent="0.2">
      <c r="A66" s="16" t="s">
        <v>29</v>
      </c>
      <c r="B66" s="16" t="s">
        <v>12</v>
      </c>
      <c r="C66" s="16" t="s">
        <v>13</v>
      </c>
      <c r="D66" s="16" t="s">
        <v>14</v>
      </c>
      <c r="E66" s="17">
        <v>192</v>
      </c>
      <c r="F66" s="18">
        <v>2499</v>
      </c>
      <c r="G66" s="18">
        <f t="shared" ref="G66:G129" si="3">E66*F66</f>
        <v>479808</v>
      </c>
      <c r="H66" s="18">
        <v>1023882</v>
      </c>
      <c r="I66" s="19">
        <f t="shared" ref="I66:I129" si="4">IF(H66=0,0,G66/H66)</f>
        <v>0.46861650072957628</v>
      </c>
      <c r="J66" s="18">
        <v>69761</v>
      </c>
      <c r="K66" s="18">
        <f t="shared" ref="K66:K129" si="5">G66-J66</f>
        <v>410047</v>
      </c>
    </row>
    <row r="67" spans="1:11" x14ac:dyDescent="0.2">
      <c r="A67" s="16" t="s">
        <v>29</v>
      </c>
      <c r="B67" s="16" t="s">
        <v>12</v>
      </c>
      <c r="C67" s="16" t="s">
        <v>13</v>
      </c>
      <c r="D67" s="16" t="s">
        <v>15</v>
      </c>
      <c r="E67" s="17">
        <v>276</v>
      </c>
      <c r="F67" s="18">
        <v>4999</v>
      </c>
      <c r="G67" s="18">
        <f t="shared" si="3"/>
        <v>1379724</v>
      </c>
      <c r="H67" s="18">
        <v>705329</v>
      </c>
      <c r="I67" s="19">
        <f t="shared" si="4"/>
        <v>1.9561424526710229</v>
      </c>
      <c r="J67" s="18">
        <v>63261</v>
      </c>
      <c r="K67" s="18">
        <f t="shared" si="5"/>
        <v>1316463</v>
      </c>
    </row>
    <row r="68" spans="1:11" x14ac:dyDescent="0.2">
      <c r="A68" s="16" t="s">
        <v>29</v>
      </c>
      <c r="B68" s="16" t="s">
        <v>12</v>
      </c>
      <c r="C68" s="16" t="s">
        <v>13</v>
      </c>
      <c r="D68" s="16" t="s">
        <v>16</v>
      </c>
      <c r="E68" s="17">
        <v>383</v>
      </c>
      <c r="F68" s="18">
        <v>4999</v>
      </c>
      <c r="G68" s="18">
        <f t="shared" si="3"/>
        <v>1914617</v>
      </c>
      <c r="H68" s="18">
        <v>530949</v>
      </c>
      <c r="I68" s="19">
        <f t="shared" si="4"/>
        <v>3.6060280742594863</v>
      </c>
      <c r="J68" s="18">
        <v>74448</v>
      </c>
      <c r="K68" s="18">
        <f t="shared" si="5"/>
        <v>1840169</v>
      </c>
    </row>
    <row r="69" spans="1:11" x14ac:dyDescent="0.2">
      <c r="A69" s="16" t="s">
        <v>29</v>
      </c>
      <c r="B69" s="16" t="s">
        <v>12</v>
      </c>
      <c r="C69" s="16" t="s">
        <v>13</v>
      </c>
      <c r="D69" s="16" t="s">
        <v>17</v>
      </c>
      <c r="E69" s="17">
        <v>171</v>
      </c>
      <c r="F69" s="18">
        <v>999</v>
      </c>
      <c r="G69" s="18">
        <f t="shared" si="3"/>
        <v>170829</v>
      </c>
      <c r="H69" s="18">
        <v>1352312</v>
      </c>
      <c r="I69" s="19">
        <f t="shared" si="4"/>
        <v>0.12632365903726359</v>
      </c>
      <c r="J69" s="18">
        <v>177307</v>
      </c>
      <c r="K69" s="18">
        <f t="shared" si="5"/>
        <v>-6478</v>
      </c>
    </row>
    <row r="70" spans="1:11" x14ac:dyDescent="0.2">
      <c r="A70" s="16" t="s">
        <v>29</v>
      </c>
      <c r="B70" s="16" t="s">
        <v>12</v>
      </c>
      <c r="C70" s="16" t="s">
        <v>18</v>
      </c>
      <c r="D70" s="16" t="s">
        <v>14</v>
      </c>
      <c r="E70" s="17">
        <v>296</v>
      </c>
      <c r="F70" s="18">
        <v>999</v>
      </c>
      <c r="G70" s="18">
        <f t="shared" si="3"/>
        <v>295704</v>
      </c>
      <c r="H70" s="18">
        <v>1341042</v>
      </c>
      <c r="I70" s="19">
        <f t="shared" si="4"/>
        <v>0.22050316097482406</v>
      </c>
      <c r="J70" s="18">
        <v>65370</v>
      </c>
      <c r="K70" s="18">
        <f t="shared" si="5"/>
        <v>230334</v>
      </c>
    </row>
    <row r="71" spans="1:11" x14ac:dyDescent="0.2">
      <c r="A71" s="16" t="s">
        <v>29</v>
      </c>
      <c r="B71" s="16" t="s">
        <v>12</v>
      </c>
      <c r="C71" s="16" t="s">
        <v>18</v>
      </c>
      <c r="D71" s="16" t="s">
        <v>15</v>
      </c>
      <c r="E71" s="17">
        <v>134</v>
      </c>
      <c r="F71" s="18">
        <v>2499</v>
      </c>
      <c r="G71" s="18">
        <f t="shared" si="3"/>
        <v>334866</v>
      </c>
      <c r="H71" s="18">
        <v>504520</v>
      </c>
      <c r="I71" s="19">
        <f t="shared" si="4"/>
        <v>0.66373186394989292</v>
      </c>
      <c r="J71" s="18">
        <v>152346</v>
      </c>
      <c r="K71" s="18">
        <f t="shared" si="5"/>
        <v>182520</v>
      </c>
    </row>
    <row r="72" spans="1:11" x14ac:dyDescent="0.2">
      <c r="A72" s="16" t="s">
        <v>29</v>
      </c>
      <c r="B72" s="16" t="s">
        <v>12</v>
      </c>
      <c r="C72" s="16" t="s">
        <v>18</v>
      </c>
      <c r="D72" s="16" t="s">
        <v>16</v>
      </c>
      <c r="E72" s="17">
        <v>185</v>
      </c>
      <c r="F72" s="18">
        <v>2499</v>
      </c>
      <c r="G72" s="18">
        <f t="shared" si="3"/>
        <v>462315</v>
      </c>
      <c r="H72" s="18">
        <v>1098210</v>
      </c>
      <c r="I72" s="19">
        <f t="shared" si="4"/>
        <v>0.42097139891277624</v>
      </c>
      <c r="J72" s="18">
        <v>160888</v>
      </c>
      <c r="K72" s="18">
        <f t="shared" si="5"/>
        <v>301427</v>
      </c>
    </row>
    <row r="73" spans="1:11" x14ac:dyDescent="0.2">
      <c r="A73" s="16" t="s">
        <v>29</v>
      </c>
      <c r="B73" s="16" t="s">
        <v>12</v>
      </c>
      <c r="C73" s="16" t="s">
        <v>18</v>
      </c>
      <c r="D73" s="16" t="s">
        <v>17</v>
      </c>
      <c r="E73" s="17">
        <v>334</v>
      </c>
      <c r="F73" s="18">
        <v>2499</v>
      </c>
      <c r="G73" s="18">
        <f t="shared" si="3"/>
        <v>834666</v>
      </c>
      <c r="H73" s="18">
        <v>824632</v>
      </c>
      <c r="I73" s="19">
        <f t="shared" si="4"/>
        <v>1.0121678518417911</v>
      </c>
      <c r="J73" s="18">
        <v>99780</v>
      </c>
      <c r="K73" s="18">
        <f t="shared" si="5"/>
        <v>734886</v>
      </c>
    </row>
    <row r="74" spans="1:11" x14ac:dyDescent="0.2">
      <c r="A74" s="16" t="s">
        <v>29</v>
      </c>
      <c r="B74" s="16" t="s">
        <v>19</v>
      </c>
      <c r="C74" s="16" t="s">
        <v>20</v>
      </c>
      <c r="D74" s="16" t="s">
        <v>14</v>
      </c>
      <c r="E74" s="17">
        <v>201</v>
      </c>
      <c r="F74" s="18">
        <v>999</v>
      </c>
      <c r="G74" s="18">
        <f t="shared" si="3"/>
        <v>200799</v>
      </c>
      <c r="H74" s="18">
        <v>622648</v>
      </c>
      <c r="I74" s="19">
        <f t="shared" si="4"/>
        <v>0.32249200190155591</v>
      </c>
      <c r="J74" s="18">
        <v>192133</v>
      </c>
      <c r="K74" s="18">
        <f t="shared" si="5"/>
        <v>8666</v>
      </c>
    </row>
    <row r="75" spans="1:11" x14ac:dyDescent="0.2">
      <c r="A75" s="16" t="s">
        <v>29</v>
      </c>
      <c r="B75" s="16" t="s">
        <v>19</v>
      </c>
      <c r="C75" s="16" t="s">
        <v>20</v>
      </c>
      <c r="D75" s="16" t="s">
        <v>15</v>
      </c>
      <c r="E75" s="17">
        <v>81</v>
      </c>
      <c r="F75" s="18">
        <v>1499</v>
      </c>
      <c r="G75" s="18">
        <f t="shared" si="3"/>
        <v>121419</v>
      </c>
      <c r="H75" s="18">
        <v>619884</v>
      </c>
      <c r="I75" s="19">
        <f t="shared" si="4"/>
        <v>0.19587374411986758</v>
      </c>
      <c r="J75" s="18">
        <v>63144</v>
      </c>
      <c r="K75" s="18">
        <f t="shared" si="5"/>
        <v>58275</v>
      </c>
    </row>
    <row r="76" spans="1:11" x14ac:dyDescent="0.2">
      <c r="A76" s="16" t="s">
        <v>29</v>
      </c>
      <c r="B76" s="16" t="s">
        <v>19</v>
      </c>
      <c r="C76" s="16" t="s">
        <v>20</v>
      </c>
      <c r="D76" s="16" t="s">
        <v>16</v>
      </c>
      <c r="E76" s="17">
        <v>349</v>
      </c>
      <c r="F76" s="18">
        <v>2499</v>
      </c>
      <c r="G76" s="18">
        <f t="shared" si="3"/>
        <v>872151</v>
      </c>
      <c r="H76" s="18">
        <v>1554553</v>
      </c>
      <c r="I76" s="19">
        <f t="shared" si="4"/>
        <v>0.5610300838890665</v>
      </c>
      <c r="J76" s="18">
        <v>189231</v>
      </c>
      <c r="K76" s="18">
        <f t="shared" si="5"/>
        <v>682920</v>
      </c>
    </row>
    <row r="77" spans="1:11" x14ac:dyDescent="0.2">
      <c r="A77" s="16" t="s">
        <v>29</v>
      </c>
      <c r="B77" s="16" t="s">
        <v>19</v>
      </c>
      <c r="C77" s="16" t="s">
        <v>20</v>
      </c>
      <c r="D77" s="16" t="s">
        <v>17</v>
      </c>
      <c r="E77" s="17">
        <v>130</v>
      </c>
      <c r="F77" s="18">
        <v>500</v>
      </c>
      <c r="G77" s="18">
        <f t="shared" si="3"/>
        <v>65000</v>
      </c>
      <c r="H77" s="18">
        <v>1564993</v>
      </c>
      <c r="I77" s="19">
        <f t="shared" si="4"/>
        <v>4.153373209976019E-2</v>
      </c>
      <c r="J77" s="18">
        <v>71000</v>
      </c>
      <c r="K77" s="18">
        <f t="shared" si="5"/>
        <v>-6000</v>
      </c>
    </row>
    <row r="78" spans="1:11" x14ac:dyDescent="0.2">
      <c r="A78" s="16" t="s">
        <v>29</v>
      </c>
      <c r="B78" s="16" t="s">
        <v>19</v>
      </c>
      <c r="C78" s="16" t="s">
        <v>21</v>
      </c>
      <c r="D78" s="16" t="s">
        <v>14</v>
      </c>
      <c r="E78" s="17">
        <v>145</v>
      </c>
      <c r="F78" s="18">
        <v>500</v>
      </c>
      <c r="G78" s="18">
        <f t="shared" si="3"/>
        <v>72500</v>
      </c>
      <c r="H78" s="18">
        <v>1747879</v>
      </c>
      <c r="I78" s="19">
        <f t="shared" si="4"/>
        <v>4.1478843787241565E-2</v>
      </c>
      <c r="J78" s="18">
        <v>67815</v>
      </c>
      <c r="K78" s="18">
        <f t="shared" si="5"/>
        <v>4685</v>
      </c>
    </row>
    <row r="79" spans="1:11" x14ac:dyDescent="0.2">
      <c r="A79" s="16" t="s">
        <v>29</v>
      </c>
      <c r="B79" s="16" t="s">
        <v>19</v>
      </c>
      <c r="C79" s="16" t="s">
        <v>21</v>
      </c>
      <c r="D79" s="16" t="s">
        <v>15</v>
      </c>
      <c r="E79" s="17">
        <v>395</v>
      </c>
      <c r="F79" s="18">
        <v>999</v>
      </c>
      <c r="G79" s="18">
        <f t="shared" si="3"/>
        <v>394605</v>
      </c>
      <c r="H79" s="18">
        <v>1346778</v>
      </c>
      <c r="I79" s="19">
        <f t="shared" si="4"/>
        <v>0.29299929164272065</v>
      </c>
      <c r="J79" s="18">
        <v>81427</v>
      </c>
      <c r="K79" s="18">
        <f t="shared" si="5"/>
        <v>313178</v>
      </c>
    </row>
    <row r="80" spans="1:11" x14ac:dyDescent="0.2">
      <c r="A80" s="16" t="s">
        <v>29</v>
      </c>
      <c r="B80" s="16" t="s">
        <v>19</v>
      </c>
      <c r="C80" s="16" t="s">
        <v>21</v>
      </c>
      <c r="D80" s="16" t="s">
        <v>16</v>
      </c>
      <c r="E80" s="17">
        <v>341</v>
      </c>
      <c r="F80" s="18">
        <v>999</v>
      </c>
      <c r="G80" s="18">
        <f t="shared" si="3"/>
        <v>340659</v>
      </c>
      <c r="H80" s="18">
        <v>1714081</v>
      </c>
      <c r="I80" s="19">
        <f t="shared" si="4"/>
        <v>0.19874148304543368</v>
      </c>
      <c r="J80" s="18">
        <v>60418</v>
      </c>
      <c r="K80" s="18">
        <f t="shared" si="5"/>
        <v>280241</v>
      </c>
    </row>
    <row r="81" spans="1:11" x14ac:dyDescent="0.2">
      <c r="A81" s="16" t="s">
        <v>29</v>
      </c>
      <c r="B81" s="16" t="s">
        <v>19</v>
      </c>
      <c r="C81" s="16" t="s">
        <v>21</v>
      </c>
      <c r="D81" s="16" t="s">
        <v>17</v>
      </c>
      <c r="E81" s="17">
        <v>367</v>
      </c>
      <c r="F81" s="18">
        <v>500</v>
      </c>
      <c r="G81" s="18">
        <f t="shared" si="3"/>
        <v>183500</v>
      </c>
      <c r="H81" s="18">
        <v>1379178</v>
      </c>
      <c r="I81" s="19">
        <f t="shared" si="4"/>
        <v>0.13305026617303931</v>
      </c>
      <c r="J81" s="18">
        <v>198170</v>
      </c>
      <c r="K81" s="18">
        <f t="shared" si="5"/>
        <v>-14670</v>
      </c>
    </row>
    <row r="82" spans="1:11" x14ac:dyDescent="0.2">
      <c r="A82" s="16" t="s">
        <v>29</v>
      </c>
      <c r="B82" s="16" t="s">
        <v>22</v>
      </c>
      <c r="C82" s="16" t="s">
        <v>23</v>
      </c>
      <c r="D82" s="16" t="s">
        <v>14</v>
      </c>
      <c r="E82" s="17">
        <v>317</v>
      </c>
      <c r="F82" s="18">
        <v>1499</v>
      </c>
      <c r="G82" s="18">
        <f t="shared" si="3"/>
        <v>475183</v>
      </c>
      <c r="H82" s="18">
        <v>1046865</v>
      </c>
      <c r="I82" s="19">
        <f t="shared" si="4"/>
        <v>0.4539104851150817</v>
      </c>
      <c r="J82" s="18">
        <v>103545</v>
      </c>
      <c r="K82" s="18">
        <f t="shared" si="5"/>
        <v>371638</v>
      </c>
    </row>
    <row r="83" spans="1:11" x14ac:dyDescent="0.2">
      <c r="A83" s="16" t="s">
        <v>29</v>
      </c>
      <c r="B83" s="16" t="s">
        <v>22</v>
      </c>
      <c r="C83" s="16" t="s">
        <v>23</v>
      </c>
      <c r="D83" s="16" t="s">
        <v>15</v>
      </c>
      <c r="E83" s="17">
        <v>392</v>
      </c>
      <c r="F83" s="18">
        <v>1499</v>
      </c>
      <c r="G83" s="18">
        <f t="shared" si="3"/>
        <v>587608</v>
      </c>
      <c r="H83" s="18">
        <v>1000560</v>
      </c>
      <c r="I83" s="19">
        <f t="shared" si="4"/>
        <v>0.58727912369073321</v>
      </c>
      <c r="J83" s="18">
        <v>119629</v>
      </c>
      <c r="K83" s="18">
        <f t="shared" si="5"/>
        <v>467979</v>
      </c>
    </row>
    <row r="84" spans="1:11" x14ac:dyDescent="0.2">
      <c r="A84" s="16" t="s">
        <v>29</v>
      </c>
      <c r="B84" s="16" t="s">
        <v>22</v>
      </c>
      <c r="C84" s="16" t="s">
        <v>23</v>
      </c>
      <c r="D84" s="16" t="s">
        <v>16</v>
      </c>
      <c r="E84" s="17">
        <v>252</v>
      </c>
      <c r="F84" s="18">
        <v>999</v>
      </c>
      <c r="G84" s="18">
        <f t="shared" si="3"/>
        <v>251748</v>
      </c>
      <c r="H84" s="18">
        <v>1908636</v>
      </c>
      <c r="I84" s="19">
        <f t="shared" si="4"/>
        <v>0.13189942974983182</v>
      </c>
      <c r="J84" s="18">
        <v>128642</v>
      </c>
      <c r="K84" s="18">
        <f t="shared" si="5"/>
        <v>123106</v>
      </c>
    </row>
    <row r="85" spans="1:11" x14ac:dyDescent="0.2">
      <c r="A85" s="16" t="s">
        <v>29</v>
      </c>
      <c r="B85" s="16" t="s">
        <v>22</v>
      </c>
      <c r="C85" s="16" t="s">
        <v>23</v>
      </c>
      <c r="D85" s="16" t="s">
        <v>17</v>
      </c>
      <c r="E85" s="17">
        <v>284</v>
      </c>
      <c r="F85" s="18">
        <v>1499</v>
      </c>
      <c r="G85" s="18">
        <f t="shared" si="3"/>
        <v>425716</v>
      </c>
      <c r="H85" s="18">
        <v>652133</v>
      </c>
      <c r="I85" s="19">
        <f t="shared" si="4"/>
        <v>0.65280548599748822</v>
      </c>
      <c r="J85" s="18">
        <v>52441</v>
      </c>
      <c r="K85" s="18">
        <f t="shared" si="5"/>
        <v>373275</v>
      </c>
    </row>
    <row r="86" spans="1:11" x14ac:dyDescent="0.2">
      <c r="A86" s="16" t="s">
        <v>29</v>
      </c>
      <c r="B86" s="16" t="s">
        <v>22</v>
      </c>
      <c r="C86" s="16" t="s">
        <v>24</v>
      </c>
      <c r="D86" s="16" t="s">
        <v>14</v>
      </c>
      <c r="E86" s="17">
        <v>284</v>
      </c>
      <c r="F86" s="18">
        <v>4999</v>
      </c>
      <c r="G86" s="18">
        <f t="shared" si="3"/>
        <v>1419716</v>
      </c>
      <c r="H86" s="18">
        <v>1680683</v>
      </c>
      <c r="I86" s="19">
        <f t="shared" si="4"/>
        <v>0.84472562642687521</v>
      </c>
      <c r="J86" s="18">
        <v>76209</v>
      </c>
      <c r="K86" s="18">
        <f t="shared" si="5"/>
        <v>1343507</v>
      </c>
    </row>
    <row r="87" spans="1:11" x14ac:dyDescent="0.2">
      <c r="A87" s="16" t="s">
        <v>29</v>
      </c>
      <c r="B87" s="16" t="s">
        <v>22</v>
      </c>
      <c r="C87" s="16" t="s">
        <v>24</v>
      </c>
      <c r="D87" s="16" t="s">
        <v>15</v>
      </c>
      <c r="E87" s="17">
        <v>87</v>
      </c>
      <c r="F87" s="18">
        <v>4999</v>
      </c>
      <c r="G87" s="18">
        <f t="shared" si="3"/>
        <v>434913</v>
      </c>
      <c r="H87" s="18">
        <v>947016</v>
      </c>
      <c r="I87" s="19">
        <f t="shared" si="4"/>
        <v>0.45924567272358652</v>
      </c>
      <c r="J87" s="18">
        <v>182614</v>
      </c>
      <c r="K87" s="18">
        <f t="shared" si="5"/>
        <v>252299</v>
      </c>
    </row>
    <row r="88" spans="1:11" x14ac:dyDescent="0.2">
      <c r="A88" s="16" t="s">
        <v>29</v>
      </c>
      <c r="B88" s="16" t="s">
        <v>22</v>
      </c>
      <c r="C88" s="16" t="s">
        <v>24</v>
      </c>
      <c r="D88" s="16" t="s">
        <v>16</v>
      </c>
      <c r="E88" s="17">
        <v>185</v>
      </c>
      <c r="F88" s="18">
        <v>999</v>
      </c>
      <c r="G88" s="18">
        <f t="shared" si="3"/>
        <v>184815</v>
      </c>
      <c r="H88" s="18">
        <v>1231924</v>
      </c>
      <c r="I88" s="19">
        <f t="shared" si="4"/>
        <v>0.1500214298934025</v>
      </c>
      <c r="J88" s="18">
        <v>68033</v>
      </c>
      <c r="K88" s="18">
        <f t="shared" si="5"/>
        <v>116782</v>
      </c>
    </row>
    <row r="89" spans="1:11" x14ac:dyDescent="0.2">
      <c r="A89" s="16" t="s">
        <v>29</v>
      </c>
      <c r="B89" s="16" t="s">
        <v>22</v>
      </c>
      <c r="C89" s="16" t="s">
        <v>24</v>
      </c>
      <c r="D89" s="16" t="s">
        <v>17</v>
      </c>
      <c r="E89" s="17">
        <v>175</v>
      </c>
      <c r="F89" s="18">
        <v>1499</v>
      </c>
      <c r="G89" s="18">
        <f t="shared" si="3"/>
        <v>262325</v>
      </c>
      <c r="H89" s="18">
        <v>1097661</v>
      </c>
      <c r="I89" s="19">
        <f t="shared" si="4"/>
        <v>0.23898544268221245</v>
      </c>
      <c r="J89" s="18">
        <v>91352</v>
      </c>
      <c r="K89" s="18">
        <f t="shared" si="5"/>
        <v>170973</v>
      </c>
    </row>
    <row r="90" spans="1:11" x14ac:dyDescent="0.2">
      <c r="A90" s="16" t="s">
        <v>29</v>
      </c>
      <c r="B90" s="16" t="s">
        <v>25</v>
      </c>
      <c r="C90" s="16" t="s">
        <v>26</v>
      </c>
      <c r="D90" s="16" t="s">
        <v>14</v>
      </c>
      <c r="E90" s="17">
        <v>274</v>
      </c>
      <c r="F90" s="18">
        <v>4999</v>
      </c>
      <c r="G90" s="18">
        <f t="shared" si="3"/>
        <v>1369726</v>
      </c>
      <c r="H90" s="18">
        <v>1975430</v>
      </c>
      <c r="I90" s="19">
        <f t="shared" si="4"/>
        <v>0.69338118789326886</v>
      </c>
      <c r="J90" s="18">
        <v>129303</v>
      </c>
      <c r="K90" s="18">
        <f t="shared" si="5"/>
        <v>1240423</v>
      </c>
    </row>
    <row r="91" spans="1:11" x14ac:dyDescent="0.2">
      <c r="A91" s="16" t="s">
        <v>29</v>
      </c>
      <c r="B91" s="16" t="s">
        <v>25</v>
      </c>
      <c r="C91" s="16" t="s">
        <v>26</v>
      </c>
      <c r="D91" s="16" t="s">
        <v>15</v>
      </c>
      <c r="E91" s="17">
        <v>363</v>
      </c>
      <c r="F91" s="18">
        <v>4999</v>
      </c>
      <c r="G91" s="18">
        <f t="shared" si="3"/>
        <v>1814637</v>
      </c>
      <c r="H91" s="18">
        <v>516406</v>
      </c>
      <c r="I91" s="19">
        <f t="shared" si="4"/>
        <v>3.5139735014697737</v>
      </c>
      <c r="J91" s="18">
        <v>195385</v>
      </c>
      <c r="K91" s="18">
        <f t="shared" si="5"/>
        <v>1619252</v>
      </c>
    </row>
    <row r="92" spans="1:11" x14ac:dyDescent="0.2">
      <c r="A92" s="16" t="s">
        <v>29</v>
      </c>
      <c r="B92" s="16" t="s">
        <v>25</v>
      </c>
      <c r="C92" s="16" t="s">
        <v>26</v>
      </c>
      <c r="D92" s="16" t="s">
        <v>16</v>
      </c>
      <c r="E92" s="17">
        <v>203</v>
      </c>
      <c r="F92" s="18">
        <v>500</v>
      </c>
      <c r="G92" s="18">
        <f t="shared" si="3"/>
        <v>101500</v>
      </c>
      <c r="H92" s="18">
        <v>781628</v>
      </c>
      <c r="I92" s="19">
        <f t="shared" si="4"/>
        <v>0.12985716990691223</v>
      </c>
      <c r="J92" s="18">
        <v>119328</v>
      </c>
      <c r="K92" s="18">
        <f t="shared" si="5"/>
        <v>-17828</v>
      </c>
    </row>
    <row r="93" spans="1:11" x14ac:dyDescent="0.2">
      <c r="A93" s="16" t="s">
        <v>29</v>
      </c>
      <c r="B93" s="16" t="s">
        <v>25</v>
      </c>
      <c r="C93" s="16" t="s">
        <v>26</v>
      </c>
      <c r="D93" s="16" t="s">
        <v>17</v>
      </c>
      <c r="E93" s="17">
        <v>109</v>
      </c>
      <c r="F93" s="18">
        <v>500</v>
      </c>
      <c r="G93" s="18">
        <f t="shared" si="3"/>
        <v>54500</v>
      </c>
      <c r="H93" s="18">
        <v>1660194</v>
      </c>
      <c r="I93" s="19">
        <f t="shared" si="4"/>
        <v>3.2827488835642099E-2</v>
      </c>
      <c r="J93" s="18">
        <v>90749</v>
      </c>
      <c r="K93" s="18">
        <f t="shared" si="5"/>
        <v>-36249</v>
      </c>
    </row>
    <row r="94" spans="1:11" x14ac:dyDescent="0.2">
      <c r="A94" s="16" t="s">
        <v>29</v>
      </c>
      <c r="B94" s="16" t="s">
        <v>25</v>
      </c>
      <c r="C94" s="16" t="s">
        <v>27</v>
      </c>
      <c r="D94" s="16" t="s">
        <v>14</v>
      </c>
      <c r="E94" s="17">
        <v>189</v>
      </c>
      <c r="F94" s="18">
        <v>1499</v>
      </c>
      <c r="G94" s="18">
        <f t="shared" si="3"/>
        <v>283311</v>
      </c>
      <c r="H94" s="18">
        <v>1768420</v>
      </c>
      <c r="I94" s="19">
        <f t="shared" si="4"/>
        <v>0.16020572036054784</v>
      </c>
      <c r="J94" s="18">
        <v>105215</v>
      </c>
      <c r="K94" s="18">
        <f t="shared" si="5"/>
        <v>178096</v>
      </c>
    </row>
    <row r="95" spans="1:11" x14ac:dyDescent="0.2">
      <c r="A95" s="16" t="s">
        <v>29</v>
      </c>
      <c r="B95" s="16" t="s">
        <v>25</v>
      </c>
      <c r="C95" s="16" t="s">
        <v>27</v>
      </c>
      <c r="D95" s="16" t="s">
        <v>15</v>
      </c>
      <c r="E95" s="17">
        <v>225</v>
      </c>
      <c r="F95" s="18">
        <v>999</v>
      </c>
      <c r="G95" s="18">
        <f t="shared" si="3"/>
        <v>224775</v>
      </c>
      <c r="H95" s="18">
        <v>1941785</v>
      </c>
      <c r="I95" s="19">
        <f t="shared" si="4"/>
        <v>0.11575689378587228</v>
      </c>
      <c r="J95" s="18">
        <v>119201</v>
      </c>
      <c r="K95" s="18">
        <f t="shared" si="5"/>
        <v>105574</v>
      </c>
    </row>
    <row r="96" spans="1:11" x14ac:dyDescent="0.2">
      <c r="A96" s="16" t="s">
        <v>29</v>
      </c>
      <c r="B96" s="16" t="s">
        <v>25</v>
      </c>
      <c r="C96" s="16" t="s">
        <v>27</v>
      </c>
      <c r="D96" s="16" t="s">
        <v>16</v>
      </c>
      <c r="E96" s="17">
        <v>308</v>
      </c>
      <c r="F96" s="18">
        <v>2499</v>
      </c>
      <c r="G96" s="18">
        <f t="shared" si="3"/>
        <v>769692</v>
      </c>
      <c r="H96" s="18">
        <v>1026639</v>
      </c>
      <c r="I96" s="19">
        <f t="shared" si="4"/>
        <v>0.74972020349899038</v>
      </c>
      <c r="J96" s="18">
        <v>63316</v>
      </c>
      <c r="K96" s="18">
        <f t="shared" si="5"/>
        <v>706376</v>
      </c>
    </row>
    <row r="97" spans="1:11" x14ac:dyDescent="0.2">
      <c r="A97" s="16" t="s">
        <v>29</v>
      </c>
      <c r="B97" s="16" t="s">
        <v>25</v>
      </c>
      <c r="C97" s="16" t="s">
        <v>27</v>
      </c>
      <c r="D97" s="16" t="s">
        <v>17</v>
      </c>
      <c r="E97" s="17">
        <v>97</v>
      </c>
      <c r="F97" s="18">
        <v>2499</v>
      </c>
      <c r="G97" s="18">
        <f t="shared" si="3"/>
        <v>242403</v>
      </c>
      <c r="H97" s="18">
        <v>1080240</v>
      </c>
      <c r="I97" s="19">
        <f t="shared" si="4"/>
        <v>0.22439735614307932</v>
      </c>
      <c r="J97" s="18">
        <v>61557</v>
      </c>
      <c r="K97" s="18">
        <f t="shared" si="5"/>
        <v>180846</v>
      </c>
    </row>
    <row r="98" spans="1:11" x14ac:dyDescent="0.2">
      <c r="A98" s="16" t="s">
        <v>30</v>
      </c>
      <c r="B98" s="16" t="s">
        <v>12</v>
      </c>
      <c r="C98" s="16" t="s">
        <v>13</v>
      </c>
      <c r="D98" s="16" t="s">
        <v>14</v>
      </c>
      <c r="E98" s="17">
        <v>51</v>
      </c>
      <c r="F98" s="18">
        <v>1499</v>
      </c>
      <c r="G98" s="18">
        <f t="shared" si="3"/>
        <v>76449</v>
      </c>
      <c r="H98" s="18">
        <v>774348</v>
      </c>
      <c r="I98" s="19">
        <f t="shared" si="4"/>
        <v>9.8726928977668951E-2</v>
      </c>
      <c r="J98" s="18">
        <v>118670</v>
      </c>
      <c r="K98" s="18">
        <f t="shared" si="5"/>
        <v>-42221</v>
      </c>
    </row>
    <row r="99" spans="1:11" x14ac:dyDescent="0.2">
      <c r="A99" s="16" t="s">
        <v>30</v>
      </c>
      <c r="B99" s="16" t="s">
        <v>12</v>
      </c>
      <c r="C99" s="16" t="s">
        <v>13</v>
      </c>
      <c r="D99" s="16" t="s">
        <v>15</v>
      </c>
      <c r="E99" s="17">
        <v>132</v>
      </c>
      <c r="F99" s="18">
        <v>2499</v>
      </c>
      <c r="G99" s="18">
        <f t="shared" si="3"/>
        <v>329868</v>
      </c>
      <c r="H99" s="18">
        <v>1656957</v>
      </c>
      <c r="I99" s="19">
        <f t="shared" si="4"/>
        <v>0.19908060378151032</v>
      </c>
      <c r="J99" s="18">
        <v>162115</v>
      </c>
      <c r="K99" s="18">
        <f t="shared" si="5"/>
        <v>167753</v>
      </c>
    </row>
    <row r="100" spans="1:11" x14ac:dyDescent="0.2">
      <c r="A100" s="16" t="s">
        <v>30</v>
      </c>
      <c r="B100" s="16" t="s">
        <v>12</v>
      </c>
      <c r="C100" s="16" t="s">
        <v>13</v>
      </c>
      <c r="D100" s="16" t="s">
        <v>16</v>
      </c>
      <c r="E100" s="17">
        <v>337</v>
      </c>
      <c r="F100" s="18">
        <v>500</v>
      </c>
      <c r="G100" s="18">
        <f t="shared" si="3"/>
        <v>168500</v>
      </c>
      <c r="H100" s="18">
        <v>734616</v>
      </c>
      <c r="I100" s="19">
        <f t="shared" si="4"/>
        <v>0.22937153560499635</v>
      </c>
      <c r="J100" s="18">
        <v>69724</v>
      </c>
      <c r="K100" s="18">
        <f t="shared" si="5"/>
        <v>98776</v>
      </c>
    </row>
    <row r="101" spans="1:11" x14ac:dyDescent="0.2">
      <c r="A101" s="16" t="s">
        <v>30</v>
      </c>
      <c r="B101" s="16" t="s">
        <v>12</v>
      </c>
      <c r="C101" s="16" t="s">
        <v>13</v>
      </c>
      <c r="D101" s="16" t="s">
        <v>17</v>
      </c>
      <c r="E101" s="17">
        <v>126</v>
      </c>
      <c r="F101" s="18">
        <v>4999</v>
      </c>
      <c r="G101" s="18">
        <f t="shared" si="3"/>
        <v>629874</v>
      </c>
      <c r="H101" s="18">
        <v>575556</v>
      </c>
      <c r="I101" s="19">
        <f t="shared" si="4"/>
        <v>1.0943748305985863</v>
      </c>
      <c r="J101" s="18">
        <v>146787</v>
      </c>
      <c r="K101" s="18">
        <f t="shared" si="5"/>
        <v>483087</v>
      </c>
    </row>
    <row r="102" spans="1:11" x14ac:dyDescent="0.2">
      <c r="A102" s="16" t="s">
        <v>30</v>
      </c>
      <c r="B102" s="16" t="s">
        <v>12</v>
      </c>
      <c r="C102" s="16" t="s">
        <v>18</v>
      </c>
      <c r="D102" s="16" t="s">
        <v>14</v>
      </c>
      <c r="E102" s="17">
        <v>348</v>
      </c>
      <c r="F102" s="18">
        <v>4999</v>
      </c>
      <c r="G102" s="18">
        <f t="shared" si="3"/>
        <v>1739652</v>
      </c>
      <c r="H102" s="18">
        <v>810575</v>
      </c>
      <c r="I102" s="19">
        <f t="shared" si="4"/>
        <v>2.146194985041483</v>
      </c>
      <c r="J102" s="18">
        <v>162666</v>
      </c>
      <c r="K102" s="18">
        <f t="shared" si="5"/>
        <v>1576986</v>
      </c>
    </row>
    <row r="103" spans="1:11" x14ac:dyDescent="0.2">
      <c r="A103" s="16" t="s">
        <v>30</v>
      </c>
      <c r="B103" s="16" t="s">
        <v>12</v>
      </c>
      <c r="C103" s="16" t="s">
        <v>18</v>
      </c>
      <c r="D103" s="16" t="s">
        <v>15</v>
      </c>
      <c r="E103" s="17">
        <v>115</v>
      </c>
      <c r="F103" s="18">
        <v>500</v>
      </c>
      <c r="G103" s="18">
        <f t="shared" si="3"/>
        <v>57500</v>
      </c>
      <c r="H103" s="18">
        <v>1146464</v>
      </c>
      <c r="I103" s="19">
        <f t="shared" si="4"/>
        <v>5.015421330281631E-2</v>
      </c>
      <c r="J103" s="18">
        <v>145591</v>
      </c>
      <c r="K103" s="18">
        <f t="shared" si="5"/>
        <v>-88091</v>
      </c>
    </row>
    <row r="104" spans="1:11" x14ac:dyDescent="0.2">
      <c r="A104" s="16" t="s">
        <v>30</v>
      </c>
      <c r="B104" s="16" t="s">
        <v>12</v>
      </c>
      <c r="C104" s="16" t="s">
        <v>18</v>
      </c>
      <c r="D104" s="16" t="s">
        <v>16</v>
      </c>
      <c r="E104" s="17">
        <v>70</v>
      </c>
      <c r="F104" s="18">
        <v>1499</v>
      </c>
      <c r="G104" s="18">
        <f t="shared" si="3"/>
        <v>104930</v>
      </c>
      <c r="H104" s="18">
        <v>940562</v>
      </c>
      <c r="I104" s="19">
        <f t="shared" si="4"/>
        <v>0.11156096036199634</v>
      </c>
      <c r="J104" s="18">
        <v>115412</v>
      </c>
      <c r="K104" s="18">
        <f t="shared" si="5"/>
        <v>-10482</v>
      </c>
    </row>
    <row r="105" spans="1:11" x14ac:dyDescent="0.2">
      <c r="A105" s="16" t="s">
        <v>30</v>
      </c>
      <c r="B105" s="16" t="s">
        <v>12</v>
      </c>
      <c r="C105" s="16" t="s">
        <v>18</v>
      </c>
      <c r="D105" s="16" t="s">
        <v>17</v>
      </c>
      <c r="E105" s="17">
        <v>391</v>
      </c>
      <c r="F105" s="18">
        <v>500</v>
      </c>
      <c r="G105" s="18">
        <f t="shared" si="3"/>
        <v>195500</v>
      </c>
      <c r="H105" s="18">
        <v>1241717</v>
      </c>
      <c r="I105" s="19">
        <f t="shared" si="4"/>
        <v>0.15744328216493775</v>
      </c>
      <c r="J105" s="18">
        <v>196770</v>
      </c>
      <c r="K105" s="18">
        <f t="shared" si="5"/>
        <v>-1270</v>
      </c>
    </row>
    <row r="106" spans="1:11" x14ac:dyDescent="0.2">
      <c r="A106" s="16" t="s">
        <v>30</v>
      </c>
      <c r="B106" s="16" t="s">
        <v>19</v>
      </c>
      <c r="C106" s="16" t="s">
        <v>20</v>
      </c>
      <c r="D106" s="16" t="s">
        <v>14</v>
      </c>
      <c r="E106" s="17">
        <v>258</v>
      </c>
      <c r="F106" s="18">
        <v>4999</v>
      </c>
      <c r="G106" s="18">
        <f t="shared" si="3"/>
        <v>1289742</v>
      </c>
      <c r="H106" s="18">
        <v>824121</v>
      </c>
      <c r="I106" s="19">
        <f t="shared" si="4"/>
        <v>1.5649910632055244</v>
      </c>
      <c r="J106" s="18">
        <v>112059</v>
      </c>
      <c r="K106" s="18">
        <f t="shared" si="5"/>
        <v>1177683</v>
      </c>
    </row>
    <row r="107" spans="1:11" x14ac:dyDescent="0.2">
      <c r="A107" s="16" t="s">
        <v>30</v>
      </c>
      <c r="B107" s="16" t="s">
        <v>19</v>
      </c>
      <c r="C107" s="16" t="s">
        <v>20</v>
      </c>
      <c r="D107" s="16" t="s">
        <v>15</v>
      </c>
      <c r="E107" s="17">
        <v>133</v>
      </c>
      <c r="F107" s="18">
        <v>999</v>
      </c>
      <c r="G107" s="18">
        <f t="shared" si="3"/>
        <v>132867</v>
      </c>
      <c r="H107" s="18">
        <v>1364644</v>
      </c>
      <c r="I107" s="19">
        <f t="shared" si="4"/>
        <v>9.7363854602372485E-2</v>
      </c>
      <c r="J107" s="18">
        <v>56497</v>
      </c>
      <c r="K107" s="18">
        <f t="shared" si="5"/>
        <v>76370</v>
      </c>
    </row>
    <row r="108" spans="1:11" x14ac:dyDescent="0.2">
      <c r="A108" s="16" t="s">
        <v>30</v>
      </c>
      <c r="B108" s="16" t="s">
        <v>19</v>
      </c>
      <c r="C108" s="16" t="s">
        <v>20</v>
      </c>
      <c r="D108" s="16" t="s">
        <v>16</v>
      </c>
      <c r="E108" s="17">
        <v>141</v>
      </c>
      <c r="F108" s="18">
        <v>1499</v>
      </c>
      <c r="G108" s="18">
        <f t="shared" si="3"/>
        <v>211359</v>
      </c>
      <c r="H108" s="18">
        <v>1363425</v>
      </c>
      <c r="I108" s="19">
        <f t="shared" si="4"/>
        <v>0.15502062819737059</v>
      </c>
      <c r="J108" s="18">
        <v>115055</v>
      </c>
      <c r="K108" s="18">
        <f t="shared" si="5"/>
        <v>96304</v>
      </c>
    </row>
    <row r="109" spans="1:11" x14ac:dyDescent="0.2">
      <c r="A109" s="16" t="s">
        <v>30</v>
      </c>
      <c r="B109" s="16" t="s">
        <v>19</v>
      </c>
      <c r="C109" s="16" t="s">
        <v>20</v>
      </c>
      <c r="D109" s="16" t="s">
        <v>17</v>
      </c>
      <c r="E109" s="17">
        <v>186</v>
      </c>
      <c r="F109" s="18">
        <v>999</v>
      </c>
      <c r="G109" s="18">
        <f t="shared" si="3"/>
        <v>185814</v>
      </c>
      <c r="H109" s="18">
        <v>1970686</v>
      </c>
      <c r="I109" s="19">
        <f t="shared" si="4"/>
        <v>9.428899378186073E-2</v>
      </c>
      <c r="J109" s="18">
        <v>78336</v>
      </c>
      <c r="K109" s="18">
        <f t="shared" si="5"/>
        <v>107478</v>
      </c>
    </row>
    <row r="110" spans="1:11" x14ac:dyDescent="0.2">
      <c r="A110" s="16" t="s">
        <v>30</v>
      </c>
      <c r="B110" s="16" t="s">
        <v>19</v>
      </c>
      <c r="C110" s="16" t="s">
        <v>21</v>
      </c>
      <c r="D110" s="16" t="s">
        <v>14</v>
      </c>
      <c r="E110" s="17">
        <v>245</v>
      </c>
      <c r="F110" s="18">
        <v>500</v>
      </c>
      <c r="G110" s="18">
        <f t="shared" si="3"/>
        <v>122500</v>
      </c>
      <c r="H110" s="18">
        <v>1487108</v>
      </c>
      <c r="I110" s="19">
        <f t="shared" si="4"/>
        <v>8.2374649319350041E-2</v>
      </c>
      <c r="J110" s="18">
        <v>108309</v>
      </c>
      <c r="K110" s="18">
        <f t="shared" si="5"/>
        <v>14191</v>
      </c>
    </row>
    <row r="111" spans="1:11" x14ac:dyDescent="0.2">
      <c r="A111" s="16" t="s">
        <v>30</v>
      </c>
      <c r="B111" s="16" t="s">
        <v>19</v>
      </c>
      <c r="C111" s="16" t="s">
        <v>21</v>
      </c>
      <c r="D111" s="16" t="s">
        <v>15</v>
      </c>
      <c r="E111" s="17">
        <v>152</v>
      </c>
      <c r="F111" s="18">
        <v>2499</v>
      </c>
      <c r="G111" s="18">
        <f t="shared" si="3"/>
        <v>379848</v>
      </c>
      <c r="H111" s="18">
        <v>1233286</v>
      </c>
      <c r="I111" s="19">
        <f t="shared" si="4"/>
        <v>0.30799668527819174</v>
      </c>
      <c r="J111" s="18">
        <v>130003</v>
      </c>
      <c r="K111" s="18">
        <f t="shared" si="5"/>
        <v>249845</v>
      </c>
    </row>
    <row r="112" spans="1:11" x14ac:dyDescent="0.2">
      <c r="A112" s="16" t="s">
        <v>30</v>
      </c>
      <c r="B112" s="16" t="s">
        <v>19</v>
      </c>
      <c r="C112" s="16" t="s">
        <v>21</v>
      </c>
      <c r="D112" s="16" t="s">
        <v>16</v>
      </c>
      <c r="E112" s="17">
        <v>166</v>
      </c>
      <c r="F112" s="18">
        <v>999</v>
      </c>
      <c r="G112" s="18">
        <f t="shared" si="3"/>
        <v>165834</v>
      </c>
      <c r="H112" s="18">
        <v>549627</v>
      </c>
      <c r="I112" s="19">
        <f t="shared" si="4"/>
        <v>0.30172098532277347</v>
      </c>
      <c r="J112" s="18">
        <v>100627</v>
      </c>
      <c r="K112" s="18">
        <f t="shared" si="5"/>
        <v>65207</v>
      </c>
    </row>
    <row r="113" spans="1:11" x14ac:dyDescent="0.2">
      <c r="A113" s="16" t="s">
        <v>30</v>
      </c>
      <c r="B113" s="16" t="s">
        <v>19</v>
      </c>
      <c r="C113" s="16" t="s">
        <v>21</v>
      </c>
      <c r="D113" s="16" t="s">
        <v>17</v>
      </c>
      <c r="E113" s="17">
        <v>254</v>
      </c>
      <c r="F113" s="18">
        <v>1499</v>
      </c>
      <c r="G113" s="18">
        <f t="shared" si="3"/>
        <v>380746</v>
      </c>
      <c r="H113" s="18">
        <v>1084272</v>
      </c>
      <c r="I113" s="19">
        <f t="shared" si="4"/>
        <v>0.35115358507828293</v>
      </c>
      <c r="J113" s="18">
        <v>68198</v>
      </c>
      <c r="K113" s="18">
        <f t="shared" si="5"/>
        <v>312548</v>
      </c>
    </row>
    <row r="114" spans="1:11" x14ac:dyDescent="0.2">
      <c r="A114" s="16" t="s">
        <v>30</v>
      </c>
      <c r="B114" s="16" t="s">
        <v>22</v>
      </c>
      <c r="C114" s="16" t="s">
        <v>23</v>
      </c>
      <c r="D114" s="16" t="s">
        <v>14</v>
      </c>
      <c r="E114" s="17">
        <v>192</v>
      </c>
      <c r="F114" s="18">
        <v>1499</v>
      </c>
      <c r="G114" s="18">
        <f t="shared" si="3"/>
        <v>287808</v>
      </c>
      <c r="H114" s="18">
        <v>1845284</v>
      </c>
      <c r="I114" s="19">
        <f t="shared" si="4"/>
        <v>0.15596948762358531</v>
      </c>
      <c r="J114" s="18">
        <v>183537</v>
      </c>
      <c r="K114" s="18">
        <f t="shared" si="5"/>
        <v>104271</v>
      </c>
    </row>
    <row r="115" spans="1:11" x14ac:dyDescent="0.2">
      <c r="A115" s="16" t="s">
        <v>30</v>
      </c>
      <c r="B115" s="16" t="s">
        <v>22</v>
      </c>
      <c r="C115" s="16" t="s">
        <v>23</v>
      </c>
      <c r="D115" s="16" t="s">
        <v>15</v>
      </c>
      <c r="E115" s="17">
        <v>254</v>
      </c>
      <c r="F115" s="18">
        <v>4999</v>
      </c>
      <c r="G115" s="18">
        <f t="shared" si="3"/>
        <v>1269746</v>
      </c>
      <c r="H115" s="18">
        <v>1194471</v>
      </c>
      <c r="I115" s="19">
        <f t="shared" si="4"/>
        <v>1.0630195291472124</v>
      </c>
      <c r="J115" s="18">
        <v>57235</v>
      </c>
      <c r="K115" s="18">
        <f t="shared" si="5"/>
        <v>1212511</v>
      </c>
    </row>
    <row r="116" spans="1:11" x14ac:dyDescent="0.2">
      <c r="A116" s="16" t="s">
        <v>30</v>
      </c>
      <c r="B116" s="16" t="s">
        <v>22</v>
      </c>
      <c r="C116" s="16" t="s">
        <v>23</v>
      </c>
      <c r="D116" s="16" t="s">
        <v>16</v>
      </c>
      <c r="E116" s="17">
        <v>109</v>
      </c>
      <c r="F116" s="18">
        <v>1499</v>
      </c>
      <c r="G116" s="18">
        <f t="shared" si="3"/>
        <v>163391</v>
      </c>
      <c r="H116" s="18">
        <v>874483</v>
      </c>
      <c r="I116" s="19">
        <f t="shared" si="4"/>
        <v>0.18684296893135716</v>
      </c>
      <c r="J116" s="18">
        <v>119590</v>
      </c>
      <c r="K116" s="18">
        <f t="shared" si="5"/>
        <v>43801</v>
      </c>
    </row>
    <row r="117" spans="1:11" x14ac:dyDescent="0.2">
      <c r="A117" s="16" t="s">
        <v>30</v>
      </c>
      <c r="B117" s="16" t="s">
        <v>22</v>
      </c>
      <c r="C117" s="16" t="s">
        <v>23</v>
      </c>
      <c r="D117" s="16" t="s">
        <v>17</v>
      </c>
      <c r="E117" s="17">
        <v>69</v>
      </c>
      <c r="F117" s="18">
        <v>500</v>
      </c>
      <c r="G117" s="18">
        <f t="shared" si="3"/>
        <v>34500</v>
      </c>
      <c r="H117" s="18">
        <v>1751100</v>
      </c>
      <c r="I117" s="19">
        <f t="shared" si="4"/>
        <v>1.9701901661812574E-2</v>
      </c>
      <c r="J117" s="18">
        <v>163918</v>
      </c>
      <c r="K117" s="18">
        <f t="shared" si="5"/>
        <v>-129418</v>
      </c>
    </row>
    <row r="118" spans="1:11" x14ac:dyDescent="0.2">
      <c r="A118" s="16" t="s">
        <v>30</v>
      </c>
      <c r="B118" s="16" t="s">
        <v>22</v>
      </c>
      <c r="C118" s="16" t="s">
        <v>24</v>
      </c>
      <c r="D118" s="16" t="s">
        <v>14</v>
      </c>
      <c r="E118" s="17">
        <v>226</v>
      </c>
      <c r="F118" s="18">
        <v>1499</v>
      </c>
      <c r="G118" s="18">
        <f t="shared" si="3"/>
        <v>338774</v>
      </c>
      <c r="H118" s="18">
        <v>1415184</v>
      </c>
      <c r="I118" s="19">
        <f t="shared" si="4"/>
        <v>0.23938512589175684</v>
      </c>
      <c r="J118" s="18">
        <v>184066</v>
      </c>
      <c r="K118" s="18">
        <f t="shared" si="5"/>
        <v>154708</v>
      </c>
    </row>
    <row r="119" spans="1:11" x14ac:dyDescent="0.2">
      <c r="A119" s="16" t="s">
        <v>30</v>
      </c>
      <c r="B119" s="16" t="s">
        <v>22</v>
      </c>
      <c r="C119" s="16" t="s">
        <v>24</v>
      </c>
      <c r="D119" s="16" t="s">
        <v>15</v>
      </c>
      <c r="E119" s="17">
        <v>109</v>
      </c>
      <c r="F119" s="18">
        <v>2499</v>
      </c>
      <c r="G119" s="18">
        <f t="shared" si="3"/>
        <v>272391</v>
      </c>
      <c r="H119" s="18">
        <v>1709192</v>
      </c>
      <c r="I119" s="19">
        <f t="shared" si="4"/>
        <v>0.15936828630136346</v>
      </c>
      <c r="J119" s="18">
        <v>99828</v>
      </c>
      <c r="K119" s="18">
        <f t="shared" si="5"/>
        <v>172563</v>
      </c>
    </row>
    <row r="120" spans="1:11" x14ac:dyDescent="0.2">
      <c r="A120" s="16" t="s">
        <v>30</v>
      </c>
      <c r="B120" s="16" t="s">
        <v>22</v>
      </c>
      <c r="C120" s="16" t="s">
        <v>24</v>
      </c>
      <c r="D120" s="16" t="s">
        <v>16</v>
      </c>
      <c r="E120" s="17">
        <v>180</v>
      </c>
      <c r="F120" s="18">
        <v>500</v>
      </c>
      <c r="G120" s="18">
        <f t="shared" si="3"/>
        <v>90000</v>
      </c>
      <c r="H120" s="18">
        <v>1986430</v>
      </c>
      <c r="I120" s="19">
        <f t="shared" si="4"/>
        <v>4.5307410782156936E-2</v>
      </c>
      <c r="J120" s="18">
        <v>164309</v>
      </c>
      <c r="K120" s="18">
        <f t="shared" si="5"/>
        <v>-74309</v>
      </c>
    </row>
    <row r="121" spans="1:11" x14ac:dyDescent="0.2">
      <c r="A121" s="16" t="s">
        <v>30</v>
      </c>
      <c r="B121" s="16" t="s">
        <v>22</v>
      </c>
      <c r="C121" s="16" t="s">
        <v>24</v>
      </c>
      <c r="D121" s="16" t="s">
        <v>17</v>
      </c>
      <c r="E121" s="17">
        <v>50</v>
      </c>
      <c r="F121" s="18">
        <v>4999</v>
      </c>
      <c r="G121" s="18">
        <f t="shared" si="3"/>
        <v>249950</v>
      </c>
      <c r="H121" s="18">
        <v>1629215</v>
      </c>
      <c r="I121" s="19">
        <f t="shared" si="4"/>
        <v>0.15341744336996652</v>
      </c>
      <c r="J121" s="18">
        <v>101651</v>
      </c>
      <c r="K121" s="18">
        <f t="shared" si="5"/>
        <v>148299</v>
      </c>
    </row>
    <row r="122" spans="1:11" x14ac:dyDescent="0.2">
      <c r="A122" s="16" t="s">
        <v>30</v>
      </c>
      <c r="B122" s="16" t="s">
        <v>25</v>
      </c>
      <c r="C122" s="16" t="s">
        <v>26</v>
      </c>
      <c r="D122" s="16" t="s">
        <v>14</v>
      </c>
      <c r="E122" s="17">
        <v>236</v>
      </c>
      <c r="F122" s="18">
        <v>2499</v>
      </c>
      <c r="G122" s="18">
        <f t="shared" si="3"/>
        <v>589764</v>
      </c>
      <c r="H122" s="18">
        <v>646745</v>
      </c>
      <c r="I122" s="19">
        <f t="shared" si="4"/>
        <v>0.91189572397158081</v>
      </c>
      <c r="J122" s="18">
        <v>136559</v>
      </c>
      <c r="K122" s="18">
        <f t="shared" si="5"/>
        <v>453205</v>
      </c>
    </row>
    <row r="123" spans="1:11" x14ac:dyDescent="0.2">
      <c r="A123" s="16" t="s">
        <v>30</v>
      </c>
      <c r="B123" s="16" t="s">
        <v>25</v>
      </c>
      <c r="C123" s="16" t="s">
        <v>26</v>
      </c>
      <c r="D123" s="16" t="s">
        <v>15</v>
      </c>
      <c r="E123" s="17">
        <v>369</v>
      </c>
      <c r="F123" s="18">
        <v>1499</v>
      </c>
      <c r="G123" s="18">
        <f t="shared" si="3"/>
        <v>553131</v>
      </c>
      <c r="H123" s="18">
        <v>1891224</v>
      </c>
      <c r="I123" s="19">
        <f t="shared" si="4"/>
        <v>0.2924724940038832</v>
      </c>
      <c r="J123" s="18">
        <v>82669</v>
      </c>
      <c r="K123" s="18">
        <f t="shared" si="5"/>
        <v>470462</v>
      </c>
    </row>
    <row r="124" spans="1:11" x14ac:dyDescent="0.2">
      <c r="A124" s="16" t="s">
        <v>30</v>
      </c>
      <c r="B124" s="16" t="s">
        <v>25</v>
      </c>
      <c r="C124" s="16" t="s">
        <v>26</v>
      </c>
      <c r="D124" s="16" t="s">
        <v>16</v>
      </c>
      <c r="E124" s="17">
        <v>203</v>
      </c>
      <c r="F124" s="18">
        <v>4999</v>
      </c>
      <c r="G124" s="18">
        <f t="shared" si="3"/>
        <v>1014797</v>
      </c>
      <c r="H124" s="18">
        <v>1148616</v>
      </c>
      <c r="I124" s="19">
        <f t="shared" si="4"/>
        <v>0.88349544147043046</v>
      </c>
      <c r="J124" s="18">
        <v>157057</v>
      </c>
      <c r="K124" s="18">
        <f t="shared" si="5"/>
        <v>857740</v>
      </c>
    </row>
    <row r="125" spans="1:11" x14ac:dyDescent="0.2">
      <c r="A125" s="16" t="s">
        <v>30</v>
      </c>
      <c r="B125" s="16" t="s">
        <v>25</v>
      </c>
      <c r="C125" s="16" t="s">
        <v>26</v>
      </c>
      <c r="D125" s="16" t="s">
        <v>17</v>
      </c>
      <c r="E125" s="17">
        <v>217</v>
      </c>
      <c r="F125" s="18">
        <v>2499</v>
      </c>
      <c r="G125" s="18">
        <f t="shared" si="3"/>
        <v>542283</v>
      </c>
      <c r="H125" s="18">
        <v>1962152</v>
      </c>
      <c r="I125" s="19">
        <f t="shared" si="4"/>
        <v>0.27637155531273827</v>
      </c>
      <c r="J125" s="18">
        <v>127504</v>
      </c>
      <c r="K125" s="18">
        <f t="shared" si="5"/>
        <v>414779</v>
      </c>
    </row>
    <row r="126" spans="1:11" x14ac:dyDescent="0.2">
      <c r="A126" s="16" t="s">
        <v>30</v>
      </c>
      <c r="B126" s="16" t="s">
        <v>25</v>
      </c>
      <c r="C126" s="16" t="s">
        <v>27</v>
      </c>
      <c r="D126" s="16" t="s">
        <v>14</v>
      </c>
      <c r="E126" s="17">
        <v>333</v>
      </c>
      <c r="F126" s="18">
        <v>999</v>
      </c>
      <c r="G126" s="18">
        <f t="shared" si="3"/>
        <v>332667</v>
      </c>
      <c r="H126" s="18">
        <v>902317</v>
      </c>
      <c r="I126" s="19">
        <f t="shared" si="4"/>
        <v>0.36868085162974873</v>
      </c>
      <c r="J126" s="18">
        <v>160217</v>
      </c>
      <c r="K126" s="18">
        <f t="shared" si="5"/>
        <v>172450</v>
      </c>
    </row>
    <row r="127" spans="1:11" x14ac:dyDescent="0.2">
      <c r="A127" s="16" t="s">
        <v>30</v>
      </c>
      <c r="B127" s="16" t="s">
        <v>25</v>
      </c>
      <c r="C127" s="16" t="s">
        <v>27</v>
      </c>
      <c r="D127" s="16" t="s">
        <v>15</v>
      </c>
      <c r="E127" s="17">
        <v>390</v>
      </c>
      <c r="F127" s="18">
        <v>2499</v>
      </c>
      <c r="G127" s="18">
        <f t="shared" si="3"/>
        <v>974610</v>
      </c>
      <c r="H127" s="18">
        <v>1920438</v>
      </c>
      <c r="I127" s="19">
        <f t="shared" si="4"/>
        <v>0.50749360302181068</v>
      </c>
      <c r="J127" s="18">
        <v>95620</v>
      </c>
      <c r="K127" s="18">
        <f t="shared" si="5"/>
        <v>878990</v>
      </c>
    </row>
    <row r="128" spans="1:11" x14ac:dyDescent="0.2">
      <c r="A128" s="16" t="s">
        <v>30</v>
      </c>
      <c r="B128" s="16" t="s">
        <v>25</v>
      </c>
      <c r="C128" s="16" t="s">
        <v>27</v>
      </c>
      <c r="D128" s="16" t="s">
        <v>16</v>
      </c>
      <c r="E128" s="17">
        <v>365</v>
      </c>
      <c r="F128" s="18">
        <v>4999</v>
      </c>
      <c r="G128" s="18">
        <f t="shared" si="3"/>
        <v>1824635</v>
      </c>
      <c r="H128" s="18">
        <v>1131137</v>
      </c>
      <c r="I128" s="19">
        <f t="shared" si="4"/>
        <v>1.613098148146511</v>
      </c>
      <c r="J128" s="18">
        <v>156450</v>
      </c>
      <c r="K128" s="18">
        <f t="shared" si="5"/>
        <v>1668185</v>
      </c>
    </row>
    <row r="129" spans="1:11" x14ac:dyDescent="0.2">
      <c r="A129" s="16" t="s">
        <v>30</v>
      </c>
      <c r="B129" s="16" t="s">
        <v>25</v>
      </c>
      <c r="C129" s="16" t="s">
        <v>27</v>
      </c>
      <c r="D129" s="16" t="s">
        <v>17</v>
      </c>
      <c r="E129" s="17">
        <v>330</v>
      </c>
      <c r="F129" s="18">
        <v>500</v>
      </c>
      <c r="G129" s="18">
        <f t="shared" si="3"/>
        <v>165000</v>
      </c>
      <c r="H129" s="18">
        <v>1137271</v>
      </c>
      <c r="I129" s="19">
        <f t="shared" si="4"/>
        <v>0.14508415320534859</v>
      </c>
      <c r="J129" s="18">
        <v>125212</v>
      </c>
      <c r="K129" s="18">
        <f t="shared" si="5"/>
        <v>39788</v>
      </c>
    </row>
    <row r="130" spans="1:11" x14ac:dyDescent="0.2">
      <c r="A130" s="16" t="s">
        <v>31</v>
      </c>
      <c r="B130" s="16" t="s">
        <v>12</v>
      </c>
      <c r="C130" s="16" t="s">
        <v>13</v>
      </c>
      <c r="D130" s="16" t="s">
        <v>14</v>
      </c>
      <c r="E130" s="17">
        <v>157</v>
      </c>
      <c r="F130" s="18">
        <v>2499</v>
      </c>
      <c r="G130" s="18">
        <f t="shared" ref="G130:G193" si="6">E130*F130</f>
        <v>392343</v>
      </c>
      <c r="H130" s="18">
        <v>1716316</v>
      </c>
      <c r="I130" s="19">
        <f t="shared" ref="I130:I193" si="7">IF(H130=0,0,G130/H130)</f>
        <v>0.22859601611824396</v>
      </c>
      <c r="J130" s="18">
        <v>134475</v>
      </c>
      <c r="K130" s="18">
        <f t="shared" ref="K130:K193" si="8">G130-J130</f>
        <v>257868</v>
      </c>
    </row>
    <row r="131" spans="1:11" x14ac:dyDescent="0.2">
      <c r="A131" s="16" t="s">
        <v>31</v>
      </c>
      <c r="B131" s="16" t="s">
        <v>12</v>
      </c>
      <c r="C131" s="16" t="s">
        <v>13</v>
      </c>
      <c r="D131" s="16" t="s">
        <v>15</v>
      </c>
      <c r="E131" s="17">
        <v>288</v>
      </c>
      <c r="F131" s="18">
        <v>2499</v>
      </c>
      <c r="G131" s="18">
        <f t="shared" si="6"/>
        <v>719712</v>
      </c>
      <c r="H131" s="18">
        <v>1427276</v>
      </c>
      <c r="I131" s="19">
        <f t="shared" si="7"/>
        <v>0.50425565903160985</v>
      </c>
      <c r="J131" s="18">
        <v>106020</v>
      </c>
      <c r="K131" s="18">
        <f t="shared" si="8"/>
        <v>613692</v>
      </c>
    </row>
    <row r="132" spans="1:11" x14ac:dyDescent="0.2">
      <c r="A132" s="16" t="s">
        <v>31</v>
      </c>
      <c r="B132" s="16" t="s">
        <v>12</v>
      </c>
      <c r="C132" s="16" t="s">
        <v>13</v>
      </c>
      <c r="D132" s="16" t="s">
        <v>16</v>
      </c>
      <c r="E132" s="17">
        <v>311</v>
      </c>
      <c r="F132" s="18">
        <v>2499</v>
      </c>
      <c r="G132" s="18">
        <f t="shared" si="6"/>
        <v>777189</v>
      </c>
      <c r="H132" s="18">
        <v>855868</v>
      </c>
      <c r="I132" s="19">
        <f t="shared" si="7"/>
        <v>0.9080711044226446</v>
      </c>
      <c r="J132" s="18">
        <v>72228</v>
      </c>
      <c r="K132" s="18">
        <f t="shared" si="8"/>
        <v>704961</v>
      </c>
    </row>
    <row r="133" spans="1:11" x14ac:dyDescent="0.2">
      <c r="A133" s="16" t="s">
        <v>31</v>
      </c>
      <c r="B133" s="16" t="s">
        <v>12</v>
      </c>
      <c r="C133" s="16" t="s">
        <v>13</v>
      </c>
      <c r="D133" s="16" t="s">
        <v>17</v>
      </c>
      <c r="E133" s="17">
        <v>195</v>
      </c>
      <c r="F133" s="18">
        <v>4999</v>
      </c>
      <c r="G133" s="18">
        <f t="shared" si="6"/>
        <v>974805</v>
      </c>
      <c r="H133" s="18">
        <v>1892202</v>
      </c>
      <c r="I133" s="19">
        <f t="shared" si="7"/>
        <v>0.51516962776701425</v>
      </c>
      <c r="J133" s="18">
        <v>137867</v>
      </c>
      <c r="K133" s="18">
        <f t="shared" si="8"/>
        <v>836938</v>
      </c>
    </row>
    <row r="134" spans="1:11" x14ac:dyDescent="0.2">
      <c r="A134" s="16" t="s">
        <v>31</v>
      </c>
      <c r="B134" s="16" t="s">
        <v>12</v>
      </c>
      <c r="C134" s="16" t="s">
        <v>18</v>
      </c>
      <c r="D134" s="16" t="s">
        <v>14</v>
      </c>
      <c r="E134" s="17">
        <v>97</v>
      </c>
      <c r="F134" s="18">
        <v>999</v>
      </c>
      <c r="G134" s="18">
        <f t="shared" si="6"/>
        <v>96903</v>
      </c>
      <c r="H134" s="18">
        <v>1910954</v>
      </c>
      <c r="I134" s="19">
        <f t="shared" si="7"/>
        <v>5.0709226909700603E-2</v>
      </c>
      <c r="J134" s="18">
        <v>131374</v>
      </c>
      <c r="K134" s="18">
        <f t="shared" si="8"/>
        <v>-34471</v>
      </c>
    </row>
    <row r="135" spans="1:11" x14ac:dyDescent="0.2">
      <c r="A135" s="16" t="s">
        <v>31</v>
      </c>
      <c r="B135" s="16" t="s">
        <v>12</v>
      </c>
      <c r="C135" s="16" t="s">
        <v>18</v>
      </c>
      <c r="D135" s="16" t="s">
        <v>15</v>
      </c>
      <c r="E135" s="17">
        <v>165</v>
      </c>
      <c r="F135" s="18">
        <v>999</v>
      </c>
      <c r="G135" s="18">
        <f t="shared" si="6"/>
        <v>164835</v>
      </c>
      <c r="H135" s="18">
        <v>809023</v>
      </c>
      <c r="I135" s="19">
        <f t="shared" si="7"/>
        <v>0.20374575259294236</v>
      </c>
      <c r="J135" s="18">
        <v>56402</v>
      </c>
      <c r="K135" s="18">
        <f t="shared" si="8"/>
        <v>108433</v>
      </c>
    </row>
    <row r="136" spans="1:11" x14ac:dyDescent="0.2">
      <c r="A136" s="16" t="s">
        <v>31</v>
      </c>
      <c r="B136" s="16" t="s">
        <v>12</v>
      </c>
      <c r="C136" s="16" t="s">
        <v>18</v>
      </c>
      <c r="D136" s="16" t="s">
        <v>16</v>
      </c>
      <c r="E136" s="17">
        <v>73</v>
      </c>
      <c r="F136" s="18">
        <v>999</v>
      </c>
      <c r="G136" s="18">
        <f t="shared" si="6"/>
        <v>72927</v>
      </c>
      <c r="H136" s="18">
        <v>1496433</v>
      </c>
      <c r="I136" s="19">
        <f t="shared" si="7"/>
        <v>4.8733889188490233E-2</v>
      </c>
      <c r="J136" s="18">
        <v>69091</v>
      </c>
      <c r="K136" s="18">
        <f t="shared" si="8"/>
        <v>3836</v>
      </c>
    </row>
    <row r="137" spans="1:11" x14ac:dyDescent="0.2">
      <c r="A137" s="16" t="s">
        <v>31</v>
      </c>
      <c r="B137" s="16" t="s">
        <v>12</v>
      </c>
      <c r="C137" s="16" t="s">
        <v>18</v>
      </c>
      <c r="D137" s="16" t="s">
        <v>17</v>
      </c>
      <c r="E137" s="17">
        <v>283</v>
      </c>
      <c r="F137" s="18">
        <v>2499</v>
      </c>
      <c r="G137" s="18">
        <f t="shared" si="6"/>
        <v>707217</v>
      </c>
      <c r="H137" s="18">
        <v>1820713</v>
      </c>
      <c r="I137" s="19">
        <f t="shared" si="7"/>
        <v>0.38842859912572714</v>
      </c>
      <c r="J137" s="18">
        <v>100970</v>
      </c>
      <c r="K137" s="18">
        <f t="shared" si="8"/>
        <v>606247</v>
      </c>
    </row>
    <row r="138" spans="1:11" x14ac:dyDescent="0.2">
      <c r="A138" s="16" t="s">
        <v>31</v>
      </c>
      <c r="B138" s="16" t="s">
        <v>19</v>
      </c>
      <c r="C138" s="16" t="s">
        <v>20</v>
      </c>
      <c r="D138" s="16" t="s">
        <v>14</v>
      </c>
      <c r="E138" s="17">
        <v>246</v>
      </c>
      <c r="F138" s="18">
        <v>2499</v>
      </c>
      <c r="G138" s="18">
        <f t="shared" si="6"/>
        <v>614754</v>
      </c>
      <c r="H138" s="18">
        <v>1338132</v>
      </c>
      <c r="I138" s="19">
        <f t="shared" si="7"/>
        <v>0.45941207593869665</v>
      </c>
      <c r="J138" s="18">
        <v>113959</v>
      </c>
      <c r="K138" s="18">
        <f t="shared" si="8"/>
        <v>500795</v>
      </c>
    </row>
    <row r="139" spans="1:11" x14ac:dyDescent="0.2">
      <c r="A139" s="16" t="s">
        <v>31</v>
      </c>
      <c r="B139" s="16" t="s">
        <v>19</v>
      </c>
      <c r="C139" s="16" t="s">
        <v>20</v>
      </c>
      <c r="D139" s="16" t="s">
        <v>15</v>
      </c>
      <c r="E139" s="17">
        <v>125</v>
      </c>
      <c r="F139" s="18">
        <v>500</v>
      </c>
      <c r="G139" s="18">
        <f t="shared" si="6"/>
        <v>62500</v>
      </c>
      <c r="H139" s="18">
        <v>723529</v>
      </c>
      <c r="I139" s="19">
        <f t="shared" si="7"/>
        <v>8.6382162981718774E-2</v>
      </c>
      <c r="J139" s="18">
        <v>161449</v>
      </c>
      <c r="K139" s="18">
        <f t="shared" si="8"/>
        <v>-98949</v>
      </c>
    </row>
    <row r="140" spans="1:11" x14ac:dyDescent="0.2">
      <c r="A140" s="16" t="s">
        <v>31</v>
      </c>
      <c r="B140" s="16" t="s">
        <v>19</v>
      </c>
      <c r="C140" s="16" t="s">
        <v>20</v>
      </c>
      <c r="D140" s="16" t="s">
        <v>16</v>
      </c>
      <c r="E140" s="17">
        <v>162</v>
      </c>
      <c r="F140" s="18">
        <v>999</v>
      </c>
      <c r="G140" s="18">
        <f t="shared" si="6"/>
        <v>161838</v>
      </c>
      <c r="H140" s="18">
        <v>1959432</v>
      </c>
      <c r="I140" s="19">
        <f t="shared" si="7"/>
        <v>8.2594343666940212E-2</v>
      </c>
      <c r="J140" s="18">
        <v>185779</v>
      </c>
      <c r="K140" s="18">
        <f t="shared" si="8"/>
        <v>-23941</v>
      </c>
    </row>
    <row r="141" spans="1:11" x14ac:dyDescent="0.2">
      <c r="A141" s="16" t="s">
        <v>31</v>
      </c>
      <c r="B141" s="16" t="s">
        <v>19</v>
      </c>
      <c r="C141" s="16" t="s">
        <v>20</v>
      </c>
      <c r="D141" s="16" t="s">
        <v>17</v>
      </c>
      <c r="E141" s="17">
        <v>287</v>
      </c>
      <c r="F141" s="18">
        <v>500</v>
      </c>
      <c r="G141" s="18">
        <f t="shared" si="6"/>
        <v>143500</v>
      </c>
      <c r="H141" s="18">
        <v>1668964</v>
      </c>
      <c r="I141" s="19">
        <f t="shared" si="7"/>
        <v>8.5981483123662342E-2</v>
      </c>
      <c r="J141" s="18">
        <v>115325</v>
      </c>
      <c r="K141" s="18">
        <f t="shared" si="8"/>
        <v>28175</v>
      </c>
    </row>
    <row r="142" spans="1:11" x14ac:dyDescent="0.2">
      <c r="A142" s="16" t="s">
        <v>31</v>
      </c>
      <c r="B142" s="16" t="s">
        <v>19</v>
      </c>
      <c r="C142" s="16" t="s">
        <v>21</v>
      </c>
      <c r="D142" s="16" t="s">
        <v>14</v>
      </c>
      <c r="E142" s="17">
        <v>112</v>
      </c>
      <c r="F142" s="18">
        <v>2499</v>
      </c>
      <c r="G142" s="18">
        <f t="shared" si="6"/>
        <v>279888</v>
      </c>
      <c r="H142" s="18">
        <v>779632</v>
      </c>
      <c r="I142" s="19">
        <f t="shared" si="7"/>
        <v>0.35900014365752048</v>
      </c>
      <c r="J142" s="18">
        <v>171803</v>
      </c>
      <c r="K142" s="18">
        <f t="shared" si="8"/>
        <v>108085</v>
      </c>
    </row>
    <row r="143" spans="1:11" x14ac:dyDescent="0.2">
      <c r="A143" s="16" t="s">
        <v>31</v>
      </c>
      <c r="B143" s="16" t="s">
        <v>19</v>
      </c>
      <c r="C143" s="16" t="s">
        <v>21</v>
      </c>
      <c r="D143" s="16" t="s">
        <v>15</v>
      </c>
      <c r="E143" s="17">
        <v>391</v>
      </c>
      <c r="F143" s="18">
        <v>4999</v>
      </c>
      <c r="G143" s="18">
        <f t="shared" si="6"/>
        <v>1954609</v>
      </c>
      <c r="H143" s="18">
        <v>1672151</v>
      </c>
      <c r="I143" s="19">
        <f t="shared" si="7"/>
        <v>1.1689189552857369</v>
      </c>
      <c r="J143" s="18">
        <v>133177</v>
      </c>
      <c r="K143" s="18">
        <f t="shared" si="8"/>
        <v>1821432</v>
      </c>
    </row>
    <row r="144" spans="1:11" x14ac:dyDescent="0.2">
      <c r="A144" s="16" t="s">
        <v>31</v>
      </c>
      <c r="B144" s="16" t="s">
        <v>19</v>
      </c>
      <c r="C144" s="16" t="s">
        <v>21</v>
      </c>
      <c r="D144" s="16" t="s">
        <v>16</v>
      </c>
      <c r="E144" s="17">
        <v>276</v>
      </c>
      <c r="F144" s="18">
        <v>4999</v>
      </c>
      <c r="G144" s="18">
        <f t="shared" si="6"/>
        <v>1379724</v>
      </c>
      <c r="H144" s="18">
        <v>1558596</v>
      </c>
      <c r="I144" s="19">
        <f t="shared" si="7"/>
        <v>0.88523517319433642</v>
      </c>
      <c r="J144" s="18">
        <v>161867</v>
      </c>
      <c r="K144" s="18">
        <f t="shared" si="8"/>
        <v>1217857</v>
      </c>
    </row>
    <row r="145" spans="1:11" x14ac:dyDescent="0.2">
      <c r="A145" s="16" t="s">
        <v>31</v>
      </c>
      <c r="B145" s="16" t="s">
        <v>19</v>
      </c>
      <c r="C145" s="16" t="s">
        <v>21</v>
      </c>
      <c r="D145" s="16" t="s">
        <v>17</v>
      </c>
      <c r="E145" s="17">
        <v>330</v>
      </c>
      <c r="F145" s="18">
        <v>2499</v>
      </c>
      <c r="G145" s="18">
        <f t="shared" si="6"/>
        <v>824670</v>
      </c>
      <c r="H145" s="18">
        <v>833778</v>
      </c>
      <c r="I145" s="19">
        <f t="shared" si="7"/>
        <v>0.98907622892424607</v>
      </c>
      <c r="J145" s="18">
        <v>174433</v>
      </c>
      <c r="K145" s="18">
        <f t="shared" si="8"/>
        <v>650237</v>
      </c>
    </row>
    <row r="146" spans="1:11" x14ac:dyDescent="0.2">
      <c r="A146" s="16" t="s">
        <v>31</v>
      </c>
      <c r="B146" s="16" t="s">
        <v>22</v>
      </c>
      <c r="C146" s="16" t="s">
        <v>23</v>
      </c>
      <c r="D146" s="16" t="s">
        <v>14</v>
      </c>
      <c r="E146" s="17">
        <v>280</v>
      </c>
      <c r="F146" s="18">
        <v>1499</v>
      </c>
      <c r="G146" s="18">
        <f t="shared" si="6"/>
        <v>419720</v>
      </c>
      <c r="H146" s="18">
        <v>1018499</v>
      </c>
      <c r="I146" s="19">
        <f t="shared" si="7"/>
        <v>0.41209662454258666</v>
      </c>
      <c r="J146" s="18">
        <v>122695</v>
      </c>
      <c r="K146" s="18">
        <f t="shared" si="8"/>
        <v>297025</v>
      </c>
    </row>
    <row r="147" spans="1:11" x14ac:dyDescent="0.2">
      <c r="A147" s="16" t="s">
        <v>31</v>
      </c>
      <c r="B147" s="16" t="s">
        <v>22</v>
      </c>
      <c r="C147" s="16" t="s">
        <v>23</v>
      </c>
      <c r="D147" s="16" t="s">
        <v>15</v>
      </c>
      <c r="E147" s="17">
        <v>316</v>
      </c>
      <c r="F147" s="18">
        <v>2499</v>
      </c>
      <c r="G147" s="18">
        <f t="shared" si="6"/>
        <v>789684</v>
      </c>
      <c r="H147" s="18">
        <v>1814386</v>
      </c>
      <c r="I147" s="19">
        <f t="shared" si="7"/>
        <v>0.43523483977499827</v>
      </c>
      <c r="J147" s="18">
        <v>112716</v>
      </c>
      <c r="K147" s="18">
        <f t="shared" si="8"/>
        <v>676968</v>
      </c>
    </row>
    <row r="148" spans="1:11" x14ac:dyDescent="0.2">
      <c r="A148" s="16" t="s">
        <v>31</v>
      </c>
      <c r="B148" s="16" t="s">
        <v>22</v>
      </c>
      <c r="C148" s="16" t="s">
        <v>23</v>
      </c>
      <c r="D148" s="16" t="s">
        <v>16</v>
      </c>
      <c r="E148" s="17">
        <v>190</v>
      </c>
      <c r="F148" s="18">
        <v>2499</v>
      </c>
      <c r="G148" s="18">
        <f t="shared" si="6"/>
        <v>474810</v>
      </c>
      <c r="H148" s="18">
        <v>662494</v>
      </c>
      <c r="I148" s="19">
        <f t="shared" si="7"/>
        <v>0.71670083049808753</v>
      </c>
      <c r="J148" s="18">
        <v>124901</v>
      </c>
      <c r="K148" s="18">
        <f t="shared" si="8"/>
        <v>349909</v>
      </c>
    </row>
    <row r="149" spans="1:11" x14ac:dyDescent="0.2">
      <c r="A149" s="16" t="s">
        <v>31</v>
      </c>
      <c r="B149" s="16" t="s">
        <v>22</v>
      </c>
      <c r="C149" s="16" t="s">
        <v>23</v>
      </c>
      <c r="D149" s="16" t="s">
        <v>17</v>
      </c>
      <c r="E149" s="17">
        <v>170</v>
      </c>
      <c r="F149" s="18">
        <v>1499</v>
      </c>
      <c r="G149" s="18">
        <f t="shared" si="6"/>
        <v>254830</v>
      </c>
      <c r="H149" s="18">
        <v>1204323</v>
      </c>
      <c r="I149" s="19">
        <f t="shared" si="7"/>
        <v>0.2115960585324701</v>
      </c>
      <c r="J149" s="18">
        <v>133809</v>
      </c>
      <c r="K149" s="18">
        <f t="shared" si="8"/>
        <v>121021</v>
      </c>
    </row>
    <row r="150" spans="1:11" x14ac:dyDescent="0.2">
      <c r="A150" s="16" t="s">
        <v>31</v>
      </c>
      <c r="B150" s="16" t="s">
        <v>22</v>
      </c>
      <c r="C150" s="16" t="s">
        <v>24</v>
      </c>
      <c r="D150" s="16" t="s">
        <v>14</v>
      </c>
      <c r="E150" s="17">
        <v>326</v>
      </c>
      <c r="F150" s="18">
        <v>500</v>
      </c>
      <c r="G150" s="18">
        <f t="shared" si="6"/>
        <v>163000</v>
      </c>
      <c r="H150" s="18">
        <v>790191</v>
      </c>
      <c r="I150" s="19">
        <f t="shared" si="7"/>
        <v>0.2062792413479779</v>
      </c>
      <c r="J150" s="18">
        <v>89539</v>
      </c>
      <c r="K150" s="18">
        <f t="shared" si="8"/>
        <v>73461</v>
      </c>
    </row>
    <row r="151" spans="1:11" x14ac:dyDescent="0.2">
      <c r="A151" s="16" t="s">
        <v>31</v>
      </c>
      <c r="B151" s="16" t="s">
        <v>22</v>
      </c>
      <c r="C151" s="16" t="s">
        <v>24</v>
      </c>
      <c r="D151" s="16" t="s">
        <v>15</v>
      </c>
      <c r="E151" s="17">
        <v>168</v>
      </c>
      <c r="F151" s="18">
        <v>2499</v>
      </c>
      <c r="G151" s="18">
        <f t="shared" si="6"/>
        <v>419832</v>
      </c>
      <c r="H151" s="18">
        <v>1955318</v>
      </c>
      <c r="I151" s="19">
        <f t="shared" si="7"/>
        <v>0.21471290091944123</v>
      </c>
      <c r="J151" s="18">
        <v>90056</v>
      </c>
      <c r="K151" s="18">
        <f t="shared" si="8"/>
        <v>329776</v>
      </c>
    </row>
    <row r="152" spans="1:11" x14ac:dyDescent="0.2">
      <c r="A152" s="16" t="s">
        <v>31</v>
      </c>
      <c r="B152" s="16" t="s">
        <v>22</v>
      </c>
      <c r="C152" s="16" t="s">
        <v>24</v>
      </c>
      <c r="D152" s="16" t="s">
        <v>16</v>
      </c>
      <c r="E152" s="17">
        <v>159</v>
      </c>
      <c r="F152" s="18">
        <v>500</v>
      </c>
      <c r="G152" s="18">
        <f t="shared" si="6"/>
        <v>79500</v>
      </c>
      <c r="H152" s="18">
        <v>1370041</v>
      </c>
      <c r="I152" s="19">
        <f t="shared" si="7"/>
        <v>5.8027460492058265E-2</v>
      </c>
      <c r="J152" s="18">
        <v>156849</v>
      </c>
      <c r="K152" s="18">
        <f t="shared" si="8"/>
        <v>-77349</v>
      </c>
    </row>
    <row r="153" spans="1:11" x14ac:dyDescent="0.2">
      <c r="A153" s="16" t="s">
        <v>31</v>
      </c>
      <c r="B153" s="16" t="s">
        <v>22</v>
      </c>
      <c r="C153" s="16" t="s">
        <v>24</v>
      </c>
      <c r="D153" s="16" t="s">
        <v>17</v>
      </c>
      <c r="E153" s="17">
        <v>219</v>
      </c>
      <c r="F153" s="18">
        <v>4999</v>
      </c>
      <c r="G153" s="18">
        <f t="shared" si="6"/>
        <v>1094781</v>
      </c>
      <c r="H153" s="18">
        <v>1477114</v>
      </c>
      <c r="I153" s="19">
        <f t="shared" si="7"/>
        <v>0.74116215810018726</v>
      </c>
      <c r="J153" s="18">
        <v>158992</v>
      </c>
      <c r="K153" s="18">
        <f t="shared" si="8"/>
        <v>935789</v>
      </c>
    </row>
    <row r="154" spans="1:11" x14ac:dyDescent="0.2">
      <c r="A154" s="16" t="s">
        <v>31</v>
      </c>
      <c r="B154" s="16" t="s">
        <v>25</v>
      </c>
      <c r="C154" s="16" t="s">
        <v>26</v>
      </c>
      <c r="D154" s="16" t="s">
        <v>14</v>
      </c>
      <c r="E154" s="17">
        <v>81</v>
      </c>
      <c r="F154" s="18">
        <v>999</v>
      </c>
      <c r="G154" s="18">
        <f t="shared" si="6"/>
        <v>80919</v>
      </c>
      <c r="H154" s="18">
        <v>1381104</v>
      </c>
      <c r="I154" s="19">
        <f t="shared" si="7"/>
        <v>5.8590084454175788E-2</v>
      </c>
      <c r="J154" s="18">
        <v>152099</v>
      </c>
      <c r="K154" s="18">
        <f t="shared" si="8"/>
        <v>-71180</v>
      </c>
    </row>
    <row r="155" spans="1:11" x14ac:dyDescent="0.2">
      <c r="A155" s="16" t="s">
        <v>31</v>
      </c>
      <c r="B155" s="16" t="s">
        <v>25</v>
      </c>
      <c r="C155" s="16" t="s">
        <v>26</v>
      </c>
      <c r="D155" s="16" t="s">
        <v>15</v>
      </c>
      <c r="E155" s="17">
        <v>349</v>
      </c>
      <c r="F155" s="18">
        <v>500</v>
      </c>
      <c r="G155" s="18">
        <f t="shared" si="6"/>
        <v>174500</v>
      </c>
      <c r="H155" s="18">
        <v>1707310</v>
      </c>
      <c r="I155" s="19">
        <f t="shared" si="7"/>
        <v>0.10220756628848891</v>
      </c>
      <c r="J155" s="18">
        <v>149714</v>
      </c>
      <c r="K155" s="18">
        <f t="shared" si="8"/>
        <v>24786</v>
      </c>
    </row>
    <row r="156" spans="1:11" x14ac:dyDescent="0.2">
      <c r="A156" s="16" t="s">
        <v>31</v>
      </c>
      <c r="B156" s="16" t="s">
        <v>25</v>
      </c>
      <c r="C156" s="16" t="s">
        <v>26</v>
      </c>
      <c r="D156" s="16" t="s">
        <v>16</v>
      </c>
      <c r="E156" s="17">
        <v>294</v>
      </c>
      <c r="F156" s="18">
        <v>500</v>
      </c>
      <c r="G156" s="18">
        <f t="shared" si="6"/>
        <v>147000</v>
      </c>
      <c r="H156" s="18">
        <v>1237691</v>
      </c>
      <c r="I156" s="19">
        <f t="shared" si="7"/>
        <v>0.11876954748802407</v>
      </c>
      <c r="J156" s="18">
        <v>128279</v>
      </c>
      <c r="K156" s="18">
        <f t="shared" si="8"/>
        <v>18721</v>
      </c>
    </row>
    <row r="157" spans="1:11" x14ac:dyDescent="0.2">
      <c r="A157" s="16" t="s">
        <v>31</v>
      </c>
      <c r="B157" s="16" t="s">
        <v>25</v>
      </c>
      <c r="C157" s="16" t="s">
        <v>26</v>
      </c>
      <c r="D157" s="16" t="s">
        <v>17</v>
      </c>
      <c r="E157" s="17">
        <v>249</v>
      </c>
      <c r="F157" s="18">
        <v>2499</v>
      </c>
      <c r="G157" s="18">
        <f t="shared" si="6"/>
        <v>622251</v>
      </c>
      <c r="H157" s="18">
        <v>1628730</v>
      </c>
      <c r="I157" s="19">
        <f t="shared" si="7"/>
        <v>0.38204674807979222</v>
      </c>
      <c r="J157" s="18">
        <v>193165</v>
      </c>
      <c r="K157" s="18">
        <f t="shared" si="8"/>
        <v>429086</v>
      </c>
    </row>
    <row r="158" spans="1:11" x14ac:dyDescent="0.2">
      <c r="A158" s="16" t="s">
        <v>31</v>
      </c>
      <c r="B158" s="16" t="s">
        <v>25</v>
      </c>
      <c r="C158" s="16" t="s">
        <v>27</v>
      </c>
      <c r="D158" s="16" t="s">
        <v>14</v>
      </c>
      <c r="E158" s="17">
        <v>358</v>
      </c>
      <c r="F158" s="18">
        <v>999</v>
      </c>
      <c r="G158" s="18">
        <f t="shared" si="6"/>
        <v>357642</v>
      </c>
      <c r="H158" s="18">
        <v>1523891</v>
      </c>
      <c r="I158" s="19">
        <f t="shared" si="7"/>
        <v>0.23469001391831831</v>
      </c>
      <c r="J158" s="18">
        <v>107520</v>
      </c>
      <c r="K158" s="18">
        <f t="shared" si="8"/>
        <v>250122</v>
      </c>
    </row>
    <row r="159" spans="1:11" x14ac:dyDescent="0.2">
      <c r="A159" s="16" t="s">
        <v>31</v>
      </c>
      <c r="B159" s="16" t="s">
        <v>25</v>
      </c>
      <c r="C159" s="16" t="s">
        <v>27</v>
      </c>
      <c r="D159" s="16" t="s">
        <v>15</v>
      </c>
      <c r="E159" s="17">
        <v>189</v>
      </c>
      <c r="F159" s="18">
        <v>2499</v>
      </c>
      <c r="G159" s="18">
        <f t="shared" si="6"/>
        <v>472311</v>
      </c>
      <c r="H159" s="18">
        <v>1518465</v>
      </c>
      <c r="I159" s="19">
        <f t="shared" si="7"/>
        <v>0.31104503561162095</v>
      </c>
      <c r="J159" s="18">
        <v>57608</v>
      </c>
      <c r="K159" s="18">
        <f t="shared" si="8"/>
        <v>414703</v>
      </c>
    </row>
    <row r="160" spans="1:11" x14ac:dyDescent="0.2">
      <c r="A160" s="16" t="s">
        <v>31</v>
      </c>
      <c r="B160" s="16" t="s">
        <v>25</v>
      </c>
      <c r="C160" s="16" t="s">
        <v>27</v>
      </c>
      <c r="D160" s="16" t="s">
        <v>16</v>
      </c>
      <c r="E160" s="17">
        <v>249</v>
      </c>
      <c r="F160" s="18">
        <v>1499</v>
      </c>
      <c r="G160" s="18">
        <f t="shared" si="6"/>
        <v>373251</v>
      </c>
      <c r="H160" s="18">
        <v>1902729</v>
      </c>
      <c r="I160" s="19">
        <f t="shared" si="7"/>
        <v>0.1961661382151636</v>
      </c>
      <c r="J160" s="18">
        <v>155989</v>
      </c>
      <c r="K160" s="18">
        <f t="shared" si="8"/>
        <v>217262</v>
      </c>
    </row>
    <row r="161" spans="1:11" x14ac:dyDescent="0.2">
      <c r="A161" s="16" t="s">
        <v>31</v>
      </c>
      <c r="B161" s="16" t="s">
        <v>25</v>
      </c>
      <c r="C161" s="16" t="s">
        <v>27</v>
      </c>
      <c r="D161" s="16" t="s">
        <v>17</v>
      </c>
      <c r="E161" s="17">
        <v>134</v>
      </c>
      <c r="F161" s="18">
        <v>2499</v>
      </c>
      <c r="G161" s="18">
        <f t="shared" si="6"/>
        <v>334866</v>
      </c>
      <c r="H161" s="18">
        <v>767654</v>
      </c>
      <c r="I161" s="19">
        <f t="shared" si="7"/>
        <v>0.43621996368155447</v>
      </c>
      <c r="J161" s="18">
        <v>190017</v>
      </c>
      <c r="K161" s="18">
        <f t="shared" si="8"/>
        <v>144849</v>
      </c>
    </row>
    <row r="162" spans="1:11" x14ac:dyDescent="0.2">
      <c r="A162" s="16" t="s">
        <v>32</v>
      </c>
      <c r="B162" s="16" t="s">
        <v>12</v>
      </c>
      <c r="C162" s="16" t="s">
        <v>13</v>
      </c>
      <c r="D162" s="16" t="s">
        <v>14</v>
      </c>
      <c r="E162" s="17">
        <v>63</v>
      </c>
      <c r="F162" s="18">
        <v>2499</v>
      </c>
      <c r="G162" s="18">
        <f t="shared" si="6"/>
        <v>157437</v>
      </c>
      <c r="H162" s="18">
        <v>1741289</v>
      </c>
      <c r="I162" s="19">
        <f t="shared" si="7"/>
        <v>9.0414055334869736E-2</v>
      </c>
      <c r="J162" s="18">
        <v>197951</v>
      </c>
      <c r="K162" s="18">
        <f t="shared" si="8"/>
        <v>-40514</v>
      </c>
    </row>
    <row r="163" spans="1:11" x14ac:dyDescent="0.2">
      <c r="A163" s="16" t="s">
        <v>32</v>
      </c>
      <c r="B163" s="16" t="s">
        <v>12</v>
      </c>
      <c r="C163" s="16" t="s">
        <v>13</v>
      </c>
      <c r="D163" s="16" t="s">
        <v>15</v>
      </c>
      <c r="E163" s="17">
        <v>389</v>
      </c>
      <c r="F163" s="18">
        <v>500</v>
      </c>
      <c r="G163" s="18">
        <f t="shared" si="6"/>
        <v>194500</v>
      </c>
      <c r="H163" s="18">
        <v>676050</v>
      </c>
      <c r="I163" s="19">
        <f t="shared" si="7"/>
        <v>0.28770061385992163</v>
      </c>
      <c r="J163" s="18">
        <v>162358</v>
      </c>
      <c r="K163" s="18">
        <f t="shared" si="8"/>
        <v>32142</v>
      </c>
    </row>
    <row r="164" spans="1:11" x14ac:dyDescent="0.2">
      <c r="A164" s="16" t="s">
        <v>32</v>
      </c>
      <c r="B164" s="16" t="s">
        <v>12</v>
      </c>
      <c r="C164" s="16" t="s">
        <v>13</v>
      </c>
      <c r="D164" s="16" t="s">
        <v>16</v>
      </c>
      <c r="E164" s="17">
        <v>119</v>
      </c>
      <c r="F164" s="18">
        <v>2499</v>
      </c>
      <c r="G164" s="18">
        <f t="shared" si="6"/>
        <v>297381</v>
      </c>
      <c r="H164" s="18">
        <v>881113</v>
      </c>
      <c r="I164" s="19">
        <f t="shared" si="7"/>
        <v>0.33750608605252674</v>
      </c>
      <c r="J164" s="18">
        <v>63181</v>
      </c>
      <c r="K164" s="18">
        <f t="shared" si="8"/>
        <v>234200</v>
      </c>
    </row>
    <row r="165" spans="1:11" x14ac:dyDescent="0.2">
      <c r="A165" s="16" t="s">
        <v>32</v>
      </c>
      <c r="B165" s="16" t="s">
        <v>12</v>
      </c>
      <c r="C165" s="16" t="s">
        <v>13</v>
      </c>
      <c r="D165" s="16" t="s">
        <v>17</v>
      </c>
      <c r="E165" s="17">
        <v>183</v>
      </c>
      <c r="F165" s="18">
        <v>2499</v>
      </c>
      <c r="G165" s="18">
        <f t="shared" si="6"/>
        <v>457317</v>
      </c>
      <c r="H165" s="18">
        <v>1186508</v>
      </c>
      <c r="I165" s="19">
        <f t="shared" si="7"/>
        <v>0.38543102954215225</v>
      </c>
      <c r="J165" s="18">
        <v>105485</v>
      </c>
      <c r="K165" s="18">
        <f t="shared" si="8"/>
        <v>351832</v>
      </c>
    </row>
    <row r="166" spans="1:11" x14ac:dyDescent="0.2">
      <c r="A166" s="16" t="s">
        <v>32</v>
      </c>
      <c r="B166" s="16" t="s">
        <v>12</v>
      </c>
      <c r="C166" s="16" t="s">
        <v>18</v>
      </c>
      <c r="D166" s="16" t="s">
        <v>14</v>
      </c>
      <c r="E166" s="17">
        <v>282</v>
      </c>
      <c r="F166" s="18">
        <v>1499</v>
      </c>
      <c r="G166" s="18">
        <f t="shared" si="6"/>
        <v>422718</v>
      </c>
      <c r="H166" s="18">
        <v>1207789</v>
      </c>
      <c r="I166" s="19">
        <f t="shared" si="7"/>
        <v>0.3499932521326159</v>
      </c>
      <c r="J166" s="18">
        <v>149385</v>
      </c>
      <c r="K166" s="18">
        <f t="shared" si="8"/>
        <v>273333</v>
      </c>
    </row>
    <row r="167" spans="1:11" x14ac:dyDescent="0.2">
      <c r="A167" s="16" t="s">
        <v>32</v>
      </c>
      <c r="B167" s="16" t="s">
        <v>12</v>
      </c>
      <c r="C167" s="16" t="s">
        <v>18</v>
      </c>
      <c r="D167" s="16" t="s">
        <v>15</v>
      </c>
      <c r="E167" s="17">
        <v>192</v>
      </c>
      <c r="F167" s="18">
        <v>2499</v>
      </c>
      <c r="G167" s="18">
        <f t="shared" si="6"/>
        <v>479808</v>
      </c>
      <c r="H167" s="18">
        <v>1029051</v>
      </c>
      <c r="I167" s="19">
        <f t="shared" si="7"/>
        <v>0.46626260506039058</v>
      </c>
      <c r="J167" s="18">
        <v>71471</v>
      </c>
      <c r="K167" s="18">
        <f t="shared" si="8"/>
        <v>408337</v>
      </c>
    </row>
    <row r="168" spans="1:11" x14ac:dyDescent="0.2">
      <c r="A168" s="16" t="s">
        <v>32</v>
      </c>
      <c r="B168" s="16" t="s">
        <v>12</v>
      </c>
      <c r="C168" s="16" t="s">
        <v>18</v>
      </c>
      <c r="D168" s="16" t="s">
        <v>16</v>
      </c>
      <c r="E168" s="17">
        <v>290</v>
      </c>
      <c r="F168" s="18">
        <v>500</v>
      </c>
      <c r="G168" s="18">
        <f t="shared" si="6"/>
        <v>145000</v>
      </c>
      <c r="H168" s="18">
        <v>1631243</v>
      </c>
      <c r="I168" s="19">
        <f t="shared" si="7"/>
        <v>8.8889270329435902E-2</v>
      </c>
      <c r="J168" s="18">
        <v>63653</v>
      </c>
      <c r="K168" s="18">
        <f t="shared" si="8"/>
        <v>81347</v>
      </c>
    </row>
    <row r="169" spans="1:11" x14ac:dyDescent="0.2">
      <c r="A169" s="16" t="s">
        <v>32</v>
      </c>
      <c r="B169" s="16" t="s">
        <v>12</v>
      </c>
      <c r="C169" s="16" t="s">
        <v>18</v>
      </c>
      <c r="D169" s="16" t="s">
        <v>17</v>
      </c>
      <c r="E169" s="17">
        <v>229</v>
      </c>
      <c r="F169" s="18">
        <v>999</v>
      </c>
      <c r="G169" s="18">
        <f t="shared" si="6"/>
        <v>228771</v>
      </c>
      <c r="H169" s="18">
        <v>1863450</v>
      </c>
      <c r="I169" s="19">
        <f t="shared" si="7"/>
        <v>0.12276744747645496</v>
      </c>
      <c r="J169" s="18">
        <v>67987</v>
      </c>
      <c r="K169" s="18">
        <f t="shared" si="8"/>
        <v>160784</v>
      </c>
    </row>
    <row r="170" spans="1:11" x14ac:dyDescent="0.2">
      <c r="A170" s="16" t="s">
        <v>32</v>
      </c>
      <c r="B170" s="16" t="s">
        <v>19</v>
      </c>
      <c r="C170" s="16" t="s">
        <v>20</v>
      </c>
      <c r="D170" s="16" t="s">
        <v>14</v>
      </c>
      <c r="E170" s="17">
        <v>383</v>
      </c>
      <c r="F170" s="18">
        <v>500</v>
      </c>
      <c r="G170" s="18">
        <f t="shared" si="6"/>
        <v>191500</v>
      </c>
      <c r="H170" s="18">
        <v>565074</v>
      </c>
      <c r="I170" s="19">
        <f t="shared" si="7"/>
        <v>0.33889366702414198</v>
      </c>
      <c r="J170" s="18">
        <v>114823</v>
      </c>
      <c r="K170" s="18">
        <f t="shared" si="8"/>
        <v>76677</v>
      </c>
    </row>
    <row r="171" spans="1:11" x14ac:dyDescent="0.2">
      <c r="A171" s="16" t="s">
        <v>32</v>
      </c>
      <c r="B171" s="16" t="s">
        <v>19</v>
      </c>
      <c r="C171" s="16" t="s">
        <v>20</v>
      </c>
      <c r="D171" s="16" t="s">
        <v>15</v>
      </c>
      <c r="E171" s="17">
        <v>152</v>
      </c>
      <c r="F171" s="18">
        <v>500</v>
      </c>
      <c r="G171" s="18">
        <f t="shared" si="6"/>
        <v>76000</v>
      </c>
      <c r="H171" s="18">
        <v>1803035</v>
      </c>
      <c r="I171" s="19">
        <f t="shared" si="7"/>
        <v>4.2151150698683054E-2</v>
      </c>
      <c r="J171" s="18">
        <v>89946</v>
      </c>
      <c r="K171" s="18">
        <f t="shared" si="8"/>
        <v>-13946</v>
      </c>
    </row>
    <row r="172" spans="1:11" x14ac:dyDescent="0.2">
      <c r="A172" s="16" t="s">
        <v>32</v>
      </c>
      <c r="B172" s="16" t="s">
        <v>19</v>
      </c>
      <c r="C172" s="16" t="s">
        <v>20</v>
      </c>
      <c r="D172" s="16" t="s">
        <v>16</v>
      </c>
      <c r="E172" s="17">
        <v>172</v>
      </c>
      <c r="F172" s="18">
        <v>999</v>
      </c>
      <c r="G172" s="18">
        <f t="shared" si="6"/>
        <v>171828</v>
      </c>
      <c r="H172" s="18">
        <v>1493129</v>
      </c>
      <c r="I172" s="19">
        <f t="shared" si="7"/>
        <v>0.11507913917685612</v>
      </c>
      <c r="J172" s="18">
        <v>79986</v>
      </c>
      <c r="K172" s="18">
        <f t="shared" si="8"/>
        <v>91842</v>
      </c>
    </row>
    <row r="173" spans="1:11" x14ac:dyDescent="0.2">
      <c r="A173" s="16" t="s">
        <v>32</v>
      </c>
      <c r="B173" s="16" t="s">
        <v>19</v>
      </c>
      <c r="C173" s="16" t="s">
        <v>20</v>
      </c>
      <c r="D173" s="16" t="s">
        <v>17</v>
      </c>
      <c r="E173" s="17">
        <v>338</v>
      </c>
      <c r="F173" s="18">
        <v>999</v>
      </c>
      <c r="G173" s="18">
        <f t="shared" si="6"/>
        <v>337662</v>
      </c>
      <c r="H173" s="18">
        <v>1475246</v>
      </c>
      <c r="I173" s="19">
        <f t="shared" si="7"/>
        <v>0.22888521643170021</v>
      </c>
      <c r="J173" s="18">
        <v>117172</v>
      </c>
      <c r="K173" s="18">
        <f t="shared" si="8"/>
        <v>220490</v>
      </c>
    </row>
    <row r="174" spans="1:11" x14ac:dyDescent="0.2">
      <c r="A174" s="16" t="s">
        <v>32</v>
      </c>
      <c r="B174" s="16" t="s">
        <v>19</v>
      </c>
      <c r="C174" s="16" t="s">
        <v>21</v>
      </c>
      <c r="D174" s="16" t="s">
        <v>14</v>
      </c>
      <c r="E174" s="17">
        <v>238</v>
      </c>
      <c r="F174" s="18">
        <v>999</v>
      </c>
      <c r="G174" s="18">
        <f t="shared" si="6"/>
        <v>237762</v>
      </c>
      <c r="H174" s="18">
        <v>1770649</v>
      </c>
      <c r="I174" s="19">
        <f t="shared" si="7"/>
        <v>0.13427957771416019</v>
      </c>
      <c r="J174" s="18">
        <v>80024</v>
      </c>
      <c r="K174" s="18">
        <f t="shared" si="8"/>
        <v>157738</v>
      </c>
    </row>
    <row r="175" spans="1:11" x14ac:dyDescent="0.2">
      <c r="A175" s="16" t="s">
        <v>32</v>
      </c>
      <c r="B175" s="16" t="s">
        <v>19</v>
      </c>
      <c r="C175" s="16" t="s">
        <v>21</v>
      </c>
      <c r="D175" s="16" t="s">
        <v>15</v>
      </c>
      <c r="E175" s="17">
        <v>133</v>
      </c>
      <c r="F175" s="18">
        <v>1499</v>
      </c>
      <c r="G175" s="18">
        <f t="shared" si="6"/>
        <v>199367</v>
      </c>
      <c r="H175" s="18">
        <v>726699</v>
      </c>
      <c r="I175" s="19">
        <f t="shared" si="7"/>
        <v>0.27434604973998861</v>
      </c>
      <c r="J175" s="18">
        <v>56731</v>
      </c>
      <c r="K175" s="18">
        <f t="shared" si="8"/>
        <v>142636</v>
      </c>
    </row>
    <row r="176" spans="1:11" x14ac:dyDescent="0.2">
      <c r="A176" s="16" t="s">
        <v>32</v>
      </c>
      <c r="B176" s="16" t="s">
        <v>19</v>
      </c>
      <c r="C176" s="16" t="s">
        <v>21</v>
      </c>
      <c r="D176" s="16" t="s">
        <v>16</v>
      </c>
      <c r="E176" s="17">
        <v>209</v>
      </c>
      <c r="F176" s="18">
        <v>4999</v>
      </c>
      <c r="G176" s="18">
        <f t="shared" si="6"/>
        <v>1044791</v>
      </c>
      <c r="H176" s="18">
        <v>1920500</v>
      </c>
      <c r="I176" s="19">
        <f t="shared" si="7"/>
        <v>0.54402030721166361</v>
      </c>
      <c r="J176" s="18">
        <v>148384</v>
      </c>
      <c r="K176" s="18">
        <f t="shared" si="8"/>
        <v>896407</v>
      </c>
    </row>
    <row r="177" spans="1:11" x14ac:dyDescent="0.2">
      <c r="A177" s="16" t="s">
        <v>32</v>
      </c>
      <c r="B177" s="16" t="s">
        <v>19</v>
      </c>
      <c r="C177" s="16" t="s">
        <v>21</v>
      </c>
      <c r="D177" s="16" t="s">
        <v>17</v>
      </c>
      <c r="E177" s="17">
        <v>253</v>
      </c>
      <c r="F177" s="18">
        <v>999</v>
      </c>
      <c r="G177" s="18">
        <f t="shared" si="6"/>
        <v>252747</v>
      </c>
      <c r="H177" s="18">
        <v>659376</v>
      </c>
      <c r="I177" s="19">
        <f t="shared" si="7"/>
        <v>0.38331240445512121</v>
      </c>
      <c r="J177" s="18">
        <v>113661</v>
      </c>
      <c r="K177" s="18">
        <f t="shared" si="8"/>
        <v>139086</v>
      </c>
    </row>
    <row r="178" spans="1:11" x14ac:dyDescent="0.2">
      <c r="A178" s="16" t="s">
        <v>32</v>
      </c>
      <c r="B178" s="16" t="s">
        <v>22</v>
      </c>
      <c r="C178" s="16" t="s">
        <v>23</v>
      </c>
      <c r="D178" s="16" t="s">
        <v>14</v>
      </c>
      <c r="E178" s="17">
        <v>102</v>
      </c>
      <c r="F178" s="18">
        <v>1499</v>
      </c>
      <c r="G178" s="18">
        <f t="shared" si="6"/>
        <v>152898</v>
      </c>
      <c r="H178" s="18">
        <v>1934995</v>
      </c>
      <c r="I178" s="19">
        <f t="shared" si="7"/>
        <v>7.9017258442528271E-2</v>
      </c>
      <c r="J178" s="18">
        <v>81733</v>
      </c>
      <c r="K178" s="18">
        <f t="shared" si="8"/>
        <v>71165</v>
      </c>
    </row>
    <row r="179" spans="1:11" x14ac:dyDescent="0.2">
      <c r="A179" s="16" t="s">
        <v>32</v>
      </c>
      <c r="B179" s="16" t="s">
        <v>22</v>
      </c>
      <c r="C179" s="16" t="s">
        <v>23</v>
      </c>
      <c r="D179" s="16" t="s">
        <v>15</v>
      </c>
      <c r="E179" s="17">
        <v>339</v>
      </c>
      <c r="F179" s="18">
        <v>500</v>
      </c>
      <c r="G179" s="18">
        <f t="shared" si="6"/>
        <v>169500</v>
      </c>
      <c r="H179" s="18">
        <v>1228139</v>
      </c>
      <c r="I179" s="19">
        <f t="shared" si="7"/>
        <v>0.13801369388969814</v>
      </c>
      <c r="J179" s="18">
        <v>189655</v>
      </c>
      <c r="K179" s="18">
        <f t="shared" si="8"/>
        <v>-20155</v>
      </c>
    </row>
    <row r="180" spans="1:11" x14ac:dyDescent="0.2">
      <c r="A180" s="16" t="s">
        <v>32</v>
      </c>
      <c r="B180" s="16" t="s">
        <v>22</v>
      </c>
      <c r="C180" s="16" t="s">
        <v>23</v>
      </c>
      <c r="D180" s="16" t="s">
        <v>16</v>
      </c>
      <c r="E180" s="17">
        <v>269</v>
      </c>
      <c r="F180" s="18">
        <v>1499</v>
      </c>
      <c r="G180" s="18">
        <f t="shared" si="6"/>
        <v>403231</v>
      </c>
      <c r="H180" s="18">
        <v>644612</v>
      </c>
      <c r="I180" s="19">
        <f t="shared" si="7"/>
        <v>0.62554063529689174</v>
      </c>
      <c r="J180" s="18">
        <v>182634</v>
      </c>
      <c r="K180" s="18">
        <f t="shared" si="8"/>
        <v>220597</v>
      </c>
    </row>
    <row r="181" spans="1:11" x14ac:dyDescent="0.2">
      <c r="A181" s="16" t="s">
        <v>32</v>
      </c>
      <c r="B181" s="16" t="s">
        <v>22</v>
      </c>
      <c r="C181" s="16" t="s">
        <v>23</v>
      </c>
      <c r="D181" s="16" t="s">
        <v>17</v>
      </c>
      <c r="E181" s="17">
        <v>381</v>
      </c>
      <c r="F181" s="18">
        <v>1499</v>
      </c>
      <c r="G181" s="18">
        <f t="shared" si="6"/>
        <v>571119</v>
      </c>
      <c r="H181" s="18">
        <v>526533</v>
      </c>
      <c r="I181" s="19">
        <f t="shared" si="7"/>
        <v>1.0846784532023634</v>
      </c>
      <c r="J181" s="18">
        <v>160115</v>
      </c>
      <c r="K181" s="18">
        <f t="shared" si="8"/>
        <v>411004</v>
      </c>
    </row>
    <row r="182" spans="1:11" x14ac:dyDescent="0.2">
      <c r="A182" s="16" t="s">
        <v>32</v>
      </c>
      <c r="B182" s="16" t="s">
        <v>22</v>
      </c>
      <c r="C182" s="16" t="s">
        <v>24</v>
      </c>
      <c r="D182" s="16" t="s">
        <v>14</v>
      </c>
      <c r="E182" s="17">
        <v>300</v>
      </c>
      <c r="F182" s="18">
        <v>500</v>
      </c>
      <c r="G182" s="18">
        <f t="shared" si="6"/>
        <v>150000</v>
      </c>
      <c r="H182" s="18">
        <v>1409164</v>
      </c>
      <c r="I182" s="19">
        <f t="shared" si="7"/>
        <v>0.1064460914414504</v>
      </c>
      <c r="J182" s="18">
        <v>144945</v>
      </c>
      <c r="K182" s="18">
        <f t="shared" si="8"/>
        <v>5055</v>
      </c>
    </row>
    <row r="183" spans="1:11" x14ac:dyDescent="0.2">
      <c r="A183" s="16" t="s">
        <v>32</v>
      </c>
      <c r="B183" s="16" t="s">
        <v>22</v>
      </c>
      <c r="C183" s="16" t="s">
        <v>24</v>
      </c>
      <c r="D183" s="16" t="s">
        <v>15</v>
      </c>
      <c r="E183" s="17">
        <v>375</v>
      </c>
      <c r="F183" s="18">
        <v>2499</v>
      </c>
      <c r="G183" s="18">
        <f t="shared" si="6"/>
        <v>937125</v>
      </c>
      <c r="H183" s="18">
        <v>1983333</v>
      </c>
      <c r="I183" s="19">
        <f t="shared" si="7"/>
        <v>0.47250007941177807</v>
      </c>
      <c r="J183" s="18">
        <v>90105</v>
      </c>
      <c r="K183" s="18">
        <f t="shared" si="8"/>
        <v>847020</v>
      </c>
    </row>
    <row r="184" spans="1:11" x14ac:dyDescent="0.2">
      <c r="A184" s="16" t="s">
        <v>32</v>
      </c>
      <c r="B184" s="16" t="s">
        <v>22</v>
      </c>
      <c r="C184" s="16" t="s">
        <v>24</v>
      </c>
      <c r="D184" s="16" t="s">
        <v>16</v>
      </c>
      <c r="E184" s="17">
        <v>272</v>
      </c>
      <c r="F184" s="18">
        <v>999</v>
      </c>
      <c r="G184" s="18">
        <f t="shared" si="6"/>
        <v>271728</v>
      </c>
      <c r="H184" s="18">
        <v>1594182</v>
      </c>
      <c r="I184" s="19">
        <f t="shared" si="7"/>
        <v>0.17044979807826208</v>
      </c>
      <c r="J184" s="18">
        <v>120800</v>
      </c>
      <c r="K184" s="18">
        <f t="shared" si="8"/>
        <v>150928</v>
      </c>
    </row>
    <row r="185" spans="1:11" x14ac:dyDescent="0.2">
      <c r="A185" s="16" t="s">
        <v>32</v>
      </c>
      <c r="B185" s="16" t="s">
        <v>22</v>
      </c>
      <c r="C185" s="16" t="s">
        <v>24</v>
      </c>
      <c r="D185" s="16" t="s">
        <v>17</v>
      </c>
      <c r="E185" s="17">
        <v>365</v>
      </c>
      <c r="F185" s="18">
        <v>4999</v>
      </c>
      <c r="G185" s="18">
        <f t="shared" si="6"/>
        <v>1824635</v>
      </c>
      <c r="H185" s="18">
        <v>1513967</v>
      </c>
      <c r="I185" s="19">
        <f t="shared" si="7"/>
        <v>1.2052013022740919</v>
      </c>
      <c r="J185" s="18">
        <v>171863</v>
      </c>
      <c r="K185" s="18">
        <f t="shared" si="8"/>
        <v>1652772</v>
      </c>
    </row>
    <row r="186" spans="1:11" x14ac:dyDescent="0.2">
      <c r="A186" s="16" t="s">
        <v>32</v>
      </c>
      <c r="B186" s="16" t="s">
        <v>25</v>
      </c>
      <c r="C186" s="16" t="s">
        <v>26</v>
      </c>
      <c r="D186" s="16" t="s">
        <v>14</v>
      </c>
      <c r="E186" s="17">
        <v>273</v>
      </c>
      <c r="F186" s="18">
        <v>4999</v>
      </c>
      <c r="G186" s="18">
        <f t="shared" si="6"/>
        <v>1364727</v>
      </c>
      <c r="H186" s="18">
        <v>1062866</v>
      </c>
      <c r="I186" s="19">
        <f t="shared" si="7"/>
        <v>1.2840066386543554</v>
      </c>
      <c r="J186" s="18">
        <v>134490</v>
      </c>
      <c r="K186" s="18">
        <f t="shared" si="8"/>
        <v>1230237</v>
      </c>
    </row>
    <row r="187" spans="1:11" x14ac:dyDescent="0.2">
      <c r="A187" s="16" t="s">
        <v>32</v>
      </c>
      <c r="B187" s="16" t="s">
        <v>25</v>
      </c>
      <c r="C187" s="16" t="s">
        <v>26</v>
      </c>
      <c r="D187" s="16" t="s">
        <v>15</v>
      </c>
      <c r="E187" s="17">
        <v>175</v>
      </c>
      <c r="F187" s="18">
        <v>500</v>
      </c>
      <c r="G187" s="18">
        <f t="shared" si="6"/>
        <v>87500</v>
      </c>
      <c r="H187" s="18">
        <v>1084954</v>
      </c>
      <c r="I187" s="19">
        <f t="shared" si="7"/>
        <v>8.0648580492813524E-2</v>
      </c>
      <c r="J187" s="18">
        <v>168175</v>
      </c>
      <c r="K187" s="18">
        <f t="shared" si="8"/>
        <v>-80675</v>
      </c>
    </row>
    <row r="188" spans="1:11" x14ac:dyDescent="0.2">
      <c r="A188" s="16" t="s">
        <v>32</v>
      </c>
      <c r="B188" s="16" t="s">
        <v>25</v>
      </c>
      <c r="C188" s="16" t="s">
        <v>26</v>
      </c>
      <c r="D188" s="16" t="s">
        <v>16</v>
      </c>
      <c r="E188" s="17">
        <v>174</v>
      </c>
      <c r="F188" s="18">
        <v>2499</v>
      </c>
      <c r="G188" s="18">
        <f t="shared" si="6"/>
        <v>434826</v>
      </c>
      <c r="H188" s="18">
        <v>1695061</v>
      </c>
      <c r="I188" s="19">
        <f t="shared" si="7"/>
        <v>0.25652528139105318</v>
      </c>
      <c r="J188" s="18">
        <v>149349</v>
      </c>
      <c r="K188" s="18">
        <f t="shared" si="8"/>
        <v>285477</v>
      </c>
    </row>
    <row r="189" spans="1:11" x14ac:dyDescent="0.2">
      <c r="A189" s="16" t="s">
        <v>32</v>
      </c>
      <c r="B189" s="16" t="s">
        <v>25</v>
      </c>
      <c r="C189" s="16" t="s">
        <v>26</v>
      </c>
      <c r="D189" s="16" t="s">
        <v>17</v>
      </c>
      <c r="E189" s="17">
        <v>222</v>
      </c>
      <c r="F189" s="18">
        <v>500</v>
      </c>
      <c r="G189" s="18">
        <f t="shared" si="6"/>
        <v>111000</v>
      </c>
      <c r="H189" s="18">
        <v>1536635</v>
      </c>
      <c r="I189" s="19">
        <f t="shared" si="7"/>
        <v>7.223576190832566E-2</v>
      </c>
      <c r="J189" s="18">
        <v>135200</v>
      </c>
      <c r="K189" s="18">
        <f t="shared" si="8"/>
        <v>-24200</v>
      </c>
    </row>
    <row r="190" spans="1:11" x14ac:dyDescent="0.2">
      <c r="A190" s="16" t="s">
        <v>32</v>
      </c>
      <c r="B190" s="16" t="s">
        <v>25</v>
      </c>
      <c r="C190" s="16" t="s">
        <v>27</v>
      </c>
      <c r="D190" s="16" t="s">
        <v>14</v>
      </c>
      <c r="E190" s="17">
        <v>143</v>
      </c>
      <c r="F190" s="18">
        <v>2499</v>
      </c>
      <c r="G190" s="18">
        <f t="shared" si="6"/>
        <v>357357</v>
      </c>
      <c r="H190" s="18">
        <v>944847</v>
      </c>
      <c r="I190" s="19">
        <f t="shared" si="7"/>
        <v>0.37821679065499492</v>
      </c>
      <c r="J190" s="18">
        <v>143015</v>
      </c>
      <c r="K190" s="18">
        <f t="shared" si="8"/>
        <v>214342</v>
      </c>
    </row>
    <row r="191" spans="1:11" x14ac:dyDescent="0.2">
      <c r="A191" s="16" t="s">
        <v>32</v>
      </c>
      <c r="B191" s="16" t="s">
        <v>25</v>
      </c>
      <c r="C191" s="16" t="s">
        <v>27</v>
      </c>
      <c r="D191" s="16" t="s">
        <v>15</v>
      </c>
      <c r="E191" s="17">
        <v>182</v>
      </c>
      <c r="F191" s="18">
        <v>1499</v>
      </c>
      <c r="G191" s="18">
        <f t="shared" si="6"/>
        <v>272818</v>
      </c>
      <c r="H191" s="18">
        <v>1086486</v>
      </c>
      <c r="I191" s="19">
        <f t="shared" si="7"/>
        <v>0.25110125671200551</v>
      </c>
      <c r="J191" s="18">
        <v>122422</v>
      </c>
      <c r="K191" s="18">
        <f t="shared" si="8"/>
        <v>150396</v>
      </c>
    </row>
    <row r="192" spans="1:11" x14ac:dyDescent="0.2">
      <c r="A192" s="16" t="s">
        <v>32</v>
      </c>
      <c r="B192" s="16" t="s">
        <v>25</v>
      </c>
      <c r="C192" s="16" t="s">
        <v>27</v>
      </c>
      <c r="D192" s="16" t="s">
        <v>16</v>
      </c>
      <c r="E192" s="17">
        <v>334</v>
      </c>
      <c r="F192" s="18">
        <v>500</v>
      </c>
      <c r="G192" s="18">
        <f t="shared" si="6"/>
        <v>167000</v>
      </c>
      <c r="H192" s="18">
        <v>1583445</v>
      </c>
      <c r="I192" s="19">
        <f t="shared" si="7"/>
        <v>0.10546624606475122</v>
      </c>
      <c r="J192" s="18">
        <v>100084</v>
      </c>
      <c r="K192" s="18">
        <f t="shared" si="8"/>
        <v>66916</v>
      </c>
    </row>
    <row r="193" spans="1:11" x14ac:dyDescent="0.2">
      <c r="A193" s="16" t="s">
        <v>32</v>
      </c>
      <c r="B193" s="16" t="s">
        <v>25</v>
      </c>
      <c r="C193" s="16" t="s">
        <v>27</v>
      </c>
      <c r="D193" s="16" t="s">
        <v>17</v>
      </c>
      <c r="E193" s="17">
        <v>93</v>
      </c>
      <c r="F193" s="18">
        <v>999</v>
      </c>
      <c r="G193" s="18">
        <f t="shared" si="6"/>
        <v>92907</v>
      </c>
      <c r="H193" s="18">
        <v>1352341</v>
      </c>
      <c r="I193" s="19">
        <f t="shared" si="7"/>
        <v>6.8700867606616964E-2</v>
      </c>
      <c r="J193" s="18">
        <v>178077</v>
      </c>
      <c r="K193" s="18">
        <f t="shared" si="8"/>
        <v>-85170</v>
      </c>
    </row>
    <row r="194" spans="1:11" x14ac:dyDescent="0.2">
      <c r="A194" s="16" t="s">
        <v>33</v>
      </c>
      <c r="B194" s="16" t="s">
        <v>12</v>
      </c>
      <c r="C194" s="16" t="s">
        <v>13</v>
      </c>
      <c r="D194" s="16" t="s">
        <v>14</v>
      </c>
      <c r="E194" s="17">
        <v>334</v>
      </c>
      <c r="F194" s="18">
        <v>999</v>
      </c>
      <c r="G194" s="18">
        <f t="shared" ref="G194:G257" si="9">E194*F194</f>
        <v>333666</v>
      </c>
      <c r="H194" s="18">
        <v>1948312</v>
      </c>
      <c r="I194" s="19">
        <f t="shared" ref="I194:I257" si="10">IF(H194=0,0,G194/H194)</f>
        <v>0.1712590180628154</v>
      </c>
      <c r="J194" s="18">
        <v>174804</v>
      </c>
      <c r="K194" s="18">
        <f t="shared" ref="K194:K257" si="11">G194-J194</f>
        <v>158862</v>
      </c>
    </row>
    <row r="195" spans="1:11" x14ac:dyDescent="0.2">
      <c r="A195" s="16" t="s">
        <v>33</v>
      </c>
      <c r="B195" s="16" t="s">
        <v>12</v>
      </c>
      <c r="C195" s="16" t="s">
        <v>13</v>
      </c>
      <c r="D195" s="16" t="s">
        <v>15</v>
      </c>
      <c r="E195" s="17">
        <v>380</v>
      </c>
      <c r="F195" s="18">
        <v>2499</v>
      </c>
      <c r="G195" s="18">
        <f t="shared" si="9"/>
        <v>949620</v>
      </c>
      <c r="H195" s="18">
        <v>1439890</v>
      </c>
      <c r="I195" s="19">
        <f t="shared" si="10"/>
        <v>0.65950871247109155</v>
      </c>
      <c r="J195" s="18">
        <v>54520</v>
      </c>
      <c r="K195" s="18">
        <f t="shared" si="11"/>
        <v>895100</v>
      </c>
    </row>
    <row r="196" spans="1:11" x14ac:dyDescent="0.2">
      <c r="A196" s="16" t="s">
        <v>33</v>
      </c>
      <c r="B196" s="16" t="s">
        <v>12</v>
      </c>
      <c r="C196" s="16" t="s">
        <v>13</v>
      </c>
      <c r="D196" s="16" t="s">
        <v>16</v>
      </c>
      <c r="E196" s="17">
        <v>97</v>
      </c>
      <c r="F196" s="18">
        <v>1499</v>
      </c>
      <c r="G196" s="18">
        <f t="shared" si="9"/>
        <v>145403</v>
      </c>
      <c r="H196" s="18">
        <v>964721</v>
      </c>
      <c r="I196" s="19">
        <f t="shared" si="10"/>
        <v>0.15072026005446135</v>
      </c>
      <c r="J196" s="18">
        <v>156011</v>
      </c>
      <c r="K196" s="18">
        <f t="shared" si="11"/>
        <v>-10608</v>
      </c>
    </row>
    <row r="197" spans="1:11" x14ac:dyDescent="0.2">
      <c r="A197" s="16" t="s">
        <v>33</v>
      </c>
      <c r="B197" s="16" t="s">
        <v>12</v>
      </c>
      <c r="C197" s="16" t="s">
        <v>13</v>
      </c>
      <c r="D197" s="16" t="s">
        <v>17</v>
      </c>
      <c r="E197" s="17">
        <v>174</v>
      </c>
      <c r="F197" s="18">
        <v>1499</v>
      </c>
      <c r="G197" s="18">
        <f t="shared" si="9"/>
        <v>260826</v>
      </c>
      <c r="H197" s="18">
        <v>1892425</v>
      </c>
      <c r="I197" s="19">
        <f t="shared" si="10"/>
        <v>0.13782633393661572</v>
      </c>
      <c r="J197" s="18">
        <v>146736</v>
      </c>
      <c r="K197" s="18">
        <f t="shared" si="11"/>
        <v>114090</v>
      </c>
    </row>
    <row r="198" spans="1:11" x14ac:dyDescent="0.2">
      <c r="A198" s="16" t="s">
        <v>33</v>
      </c>
      <c r="B198" s="16" t="s">
        <v>12</v>
      </c>
      <c r="C198" s="16" t="s">
        <v>18</v>
      </c>
      <c r="D198" s="16" t="s">
        <v>14</v>
      </c>
      <c r="E198" s="17">
        <v>292</v>
      </c>
      <c r="F198" s="18">
        <v>4999</v>
      </c>
      <c r="G198" s="18">
        <f t="shared" si="9"/>
        <v>1459708</v>
      </c>
      <c r="H198" s="18">
        <v>1613423</v>
      </c>
      <c r="I198" s="19">
        <f t="shared" si="10"/>
        <v>0.90472740254725514</v>
      </c>
      <c r="J198" s="18">
        <v>140113</v>
      </c>
      <c r="K198" s="18">
        <f t="shared" si="11"/>
        <v>1319595</v>
      </c>
    </row>
    <row r="199" spans="1:11" x14ac:dyDescent="0.2">
      <c r="A199" s="16" t="s">
        <v>33</v>
      </c>
      <c r="B199" s="16" t="s">
        <v>12</v>
      </c>
      <c r="C199" s="16" t="s">
        <v>18</v>
      </c>
      <c r="D199" s="16" t="s">
        <v>15</v>
      </c>
      <c r="E199" s="17">
        <v>267</v>
      </c>
      <c r="F199" s="18">
        <v>4999</v>
      </c>
      <c r="G199" s="18">
        <f t="shared" si="9"/>
        <v>1334733</v>
      </c>
      <c r="H199" s="18">
        <v>1193719</v>
      </c>
      <c r="I199" s="19">
        <f t="shared" si="10"/>
        <v>1.1181299786633203</v>
      </c>
      <c r="J199" s="18">
        <v>142225</v>
      </c>
      <c r="K199" s="18">
        <f t="shared" si="11"/>
        <v>1192508</v>
      </c>
    </row>
    <row r="200" spans="1:11" x14ac:dyDescent="0.2">
      <c r="A200" s="16" t="s">
        <v>33</v>
      </c>
      <c r="B200" s="16" t="s">
        <v>12</v>
      </c>
      <c r="C200" s="16" t="s">
        <v>18</v>
      </c>
      <c r="D200" s="16" t="s">
        <v>16</v>
      </c>
      <c r="E200" s="17">
        <v>282</v>
      </c>
      <c r="F200" s="18">
        <v>1499</v>
      </c>
      <c r="G200" s="18">
        <f t="shared" si="9"/>
        <v>422718</v>
      </c>
      <c r="H200" s="18">
        <v>1143035</v>
      </c>
      <c r="I200" s="19">
        <f t="shared" si="10"/>
        <v>0.36982069665408318</v>
      </c>
      <c r="J200" s="18">
        <v>115903</v>
      </c>
      <c r="K200" s="18">
        <f t="shared" si="11"/>
        <v>306815</v>
      </c>
    </row>
    <row r="201" spans="1:11" x14ac:dyDescent="0.2">
      <c r="A201" s="16" t="s">
        <v>33</v>
      </c>
      <c r="B201" s="16" t="s">
        <v>12</v>
      </c>
      <c r="C201" s="16" t="s">
        <v>18</v>
      </c>
      <c r="D201" s="16" t="s">
        <v>17</v>
      </c>
      <c r="E201" s="17">
        <v>168</v>
      </c>
      <c r="F201" s="18">
        <v>500</v>
      </c>
      <c r="G201" s="18">
        <f t="shared" si="9"/>
        <v>84000</v>
      </c>
      <c r="H201" s="18">
        <v>903878</v>
      </c>
      <c r="I201" s="19">
        <f t="shared" si="10"/>
        <v>9.2932895811160363E-2</v>
      </c>
      <c r="J201" s="18">
        <v>132719</v>
      </c>
      <c r="K201" s="18">
        <f t="shared" si="11"/>
        <v>-48719</v>
      </c>
    </row>
    <row r="202" spans="1:11" x14ac:dyDescent="0.2">
      <c r="A202" s="16" t="s">
        <v>33</v>
      </c>
      <c r="B202" s="16" t="s">
        <v>19</v>
      </c>
      <c r="C202" s="16" t="s">
        <v>20</v>
      </c>
      <c r="D202" s="16" t="s">
        <v>14</v>
      </c>
      <c r="E202" s="17">
        <v>111</v>
      </c>
      <c r="F202" s="18">
        <v>4999</v>
      </c>
      <c r="G202" s="18">
        <f t="shared" si="9"/>
        <v>554889</v>
      </c>
      <c r="H202" s="18">
        <v>1947377</v>
      </c>
      <c r="I202" s="19">
        <f t="shared" si="10"/>
        <v>0.28494174471609762</v>
      </c>
      <c r="J202" s="18">
        <v>98535</v>
      </c>
      <c r="K202" s="18">
        <f t="shared" si="11"/>
        <v>456354</v>
      </c>
    </row>
    <row r="203" spans="1:11" x14ac:dyDescent="0.2">
      <c r="A203" s="16" t="s">
        <v>33</v>
      </c>
      <c r="B203" s="16" t="s">
        <v>19</v>
      </c>
      <c r="C203" s="16" t="s">
        <v>20</v>
      </c>
      <c r="D203" s="16" t="s">
        <v>15</v>
      </c>
      <c r="E203" s="17">
        <v>148</v>
      </c>
      <c r="F203" s="18">
        <v>999</v>
      </c>
      <c r="G203" s="18">
        <f t="shared" si="9"/>
        <v>147852</v>
      </c>
      <c r="H203" s="18">
        <v>1515438</v>
      </c>
      <c r="I203" s="19">
        <f t="shared" si="10"/>
        <v>9.7563872622964454E-2</v>
      </c>
      <c r="J203" s="18">
        <v>122482</v>
      </c>
      <c r="K203" s="18">
        <f t="shared" si="11"/>
        <v>25370</v>
      </c>
    </row>
    <row r="204" spans="1:11" x14ac:dyDescent="0.2">
      <c r="A204" s="16" t="s">
        <v>33</v>
      </c>
      <c r="B204" s="16" t="s">
        <v>19</v>
      </c>
      <c r="C204" s="16" t="s">
        <v>20</v>
      </c>
      <c r="D204" s="16" t="s">
        <v>16</v>
      </c>
      <c r="E204" s="17">
        <v>351</v>
      </c>
      <c r="F204" s="18">
        <v>4999</v>
      </c>
      <c r="G204" s="18">
        <f t="shared" si="9"/>
        <v>1754649</v>
      </c>
      <c r="H204" s="18">
        <v>1751560</v>
      </c>
      <c r="I204" s="19">
        <f t="shared" si="10"/>
        <v>1.0017635707597798</v>
      </c>
      <c r="J204" s="18">
        <v>124186</v>
      </c>
      <c r="K204" s="18">
        <f t="shared" si="11"/>
        <v>1630463</v>
      </c>
    </row>
    <row r="205" spans="1:11" x14ac:dyDescent="0.2">
      <c r="A205" s="16" t="s">
        <v>33</v>
      </c>
      <c r="B205" s="16" t="s">
        <v>19</v>
      </c>
      <c r="C205" s="16" t="s">
        <v>20</v>
      </c>
      <c r="D205" s="16" t="s">
        <v>17</v>
      </c>
      <c r="E205" s="17">
        <v>101</v>
      </c>
      <c r="F205" s="18">
        <v>999</v>
      </c>
      <c r="G205" s="18">
        <f t="shared" si="9"/>
        <v>100899</v>
      </c>
      <c r="H205" s="18">
        <v>1121273</v>
      </c>
      <c r="I205" s="19">
        <f t="shared" si="10"/>
        <v>8.9986113997215664E-2</v>
      </c>
      <c r="J205" s="18">
        <v>109633</v>
      </c>
      <c r="K205" s="18">
        <f t="shared" si="11"/>
        <v>-8734</v>
      </c>
    </row>
    <row r="206" spans="1:11" x14ac:dyDescent="0.2">
      <c r="A206" s="16" t="s">
        <v>33</v>
      </c>
      <c r="B206" s="16" t="s">
        <v>19</v>
      </c>
      <c r="C206" s="16" t="s">
        <v>21</v>
      </c>
      <c r="D206" s="16" t="s">
        <v>14</v>
      </c>
      <c r="E206" s="17">
        <v>234</v>
      </c>
      <c r="F206" s="18">
        <v>999</v>
      </c>
      <c r="G206" s="18">
        <f t="shared" si="9"/>
        <v>233766</v>
      </c>
      <c r="H206" s="18">
        <v>1133901</v>
      </c>
      <c r="I206" s="19">
        <f t="shared" si="10"/>
        <v>0.2061608553127654</v>
      </c>
      <c r="J206" s="18">
        <v>53708</v>
      </c>
      <c r="K206" s="18">
        <f t="shared" si="11"/>
        <v>180058</v>
      </c>
    </row>
    <row r="207" spans="1:11" x14ac:dyDescent="0.2">
      <c r="A207" s="16" t="s">
        <v>33</v>
      </c>
      <c r="B207" s="16" t="s">
        <v>19</v>
      </c>
      <c r="C207" s="16" t="s">
        <v>21</v>
      </c>
      <c r="D207" s="16" t="s">
        <v>15</v>
      </c>
      <c r="E207" s="17">
        <v>323</v>
      </c>
      <c r="F207" s="18">
        <v>999</v>
      </c>
      <c r="G207" s="18">
        <f t="shared" si="9"/>
        <v>322677</v>
      </c>
      <c r="H207" s="18">
        <v>1075272</v>
      </c>
      <c r="I207" s="19">
        <f t="shared" si="10"/>
        <v>0.30008872173738366</v>
      </c>
      <c r="J207" s="18">
        <v>61931</v>
      </c>
      <c r="K207" s="18">
        <f t="shared" si="11"/>
        <v>260746</v>
      </c>
    </row>
    <row r="208" spans="1:11" x14ac:dyDescent="0.2">
      <c r="A208" s="16" t="s">
        <v>33</v>
      </c>
      <c r="B208" s="16" t="s">
        <v>19</v>
      </c>
      <c r="C208" s="16" t="s">
        <v>21</v>
      </c>
      <c r="D208" s="16" t="s">
        <v>16</v>
      </c>
      <c r="E208" s="17">
        <v>77</v>
      </c>
      <c r="F208" s="18">
        <v>4999</v>
      </c>
      <c r="G208" s="18">
        <f t="shared" si="9"/>
        <v>384923</v>
      </c>
      <c r="H208" s="18">
        <v>1112654</v>
      </c>
      <c r="I208" s="19">
        <f t="shared" si="10"/>
        <v>0.34595031339481996</v>
      </c>
      <c r="J208" s="18">
        <v>83103</v>
      </c>
      <c r="K208" s="18">
        <f t="shared" si="11"/>
        <v>301820</v>
      </c>
    </row>
    <row r="209" spans="1:11" x14ac:dyDescent="0.2">
      <c r="A209" s="16" t="s">
        <v>33</v>
      </c>
      <c r="B209" s="16" t="s">
        <v>19</v>
      </c>
      <c r="C209" s="16" t="s">
        <v>21</v>
      </c>
      <c r="D209" s="16" t="s">
        <v>17</v>
      </c>
      <c r="E209" s="17">
        <v>376</v>
      </c>
      <c r="F209" s="18">
        <v>2499</v>
      </c>
      <c r="G209" s="18">
        <f t="shared" si="9"/>
        <v>939624</v>
      </c>
      <c r="H209" s="18">
        <v>715141</v>
      </c>
      <c r="I209" s="19">
        <f t="shared" si="10"/>
        <v>1.3139003357379873</v>
      </c>
      <c r="J209" s="18">
        <v>53215</v>
      </c>
      <c r="K209" s="18">
        <f t="shared" si="11"/>
        <v>886409</v>
      </c>
    </row>
    <row r="210" spans="1:11" x14ac:dyDescent="0.2">
      <c r="A210" s="16" t="s">
        <v>33</v>
      </c>
      <c r="B210" s="16" t="s">
        <v>22</v>
      </c>
      <c r="C210" s="16" t="s">
        <v>23</v>
      </c>
      <c r="D210" s="16" t="s">
        <v>14</v>
      </c>
      <c r="E210" s="17">
        <v>343</v>
      </c>
      <c r="F210" s="18">
        <v>1499</v>
      </c>
      <c r="G210" s="18">
        <f t="shared" si="9"/>
        <v>514157</v>
      </c>
      <c r="H210" s="18">
        <v>1484396</v>
      </c>
      <c r="I210" s="19">
        <f t="shared" si="10"/>
        <v>0.34637455234317527</v>
      </c>
      <c r="J210" s="18">
        <v>175492</v>
      </c>
      <c r="K210" s="18">
        <f t="shared" si="11"/>
        <v>338665</v>
      </c>
    </row>
    <row r="211" spans="1:11" x14ac:dyDescent="0.2">
      <c r="A211" s="16" t="s">
        <v>33</v>
      </c>
      <c r="B211" s="16" t="s">
        <v>22</v>
      </c>
      <c r="C211" s="16" t="s">
        <v>23</v>
      </c>
      <c r="D211" s="16" t="s">
        <v>15</v>
      </c>
      <c r="E211" s="17">
        <v>275</v>
      </c>
      <c r="F211" s="18">
        <v>1499</v>
      </c>
      <c r="G211" s="18">
        <f t="shared" si="9"/>
        <v>412225</v>
      </c>
      <c r="H211" s="18">
        <v>886638</v>
      </c>
      <c r="I211" s="19">
        <f t="shared" si="10"/>
        <v>0.46493044511965426</v>
      </c>
      <c r="J211" s="18">
        <v>63468</v>
      </c>
      <c r="K211" s="18">
        <f t="shared" si="11"/>
        <v>348757</v>
      </c>
    </row>
    <row r="212" spans="1:11" x14ac:dyDescent="0.2">
      <c r="A212" s="16" t="s">
        <v>33</v>
      </c>
      <c r="B212" s="16" t="s">
        <v>22</v>
      </c>
      <c r="C212" s="16" t="s">
        <v>23</v>
      </c>
      <c r="D212" s="16" t="s">
        <v>16</v>
      </c>
      <c r="E212" s="17">
        <v>179</v>
      </c>
      <c r="F212" s="18">
        <v>2499</v>
      </c>
      <c r="G212" s="18">
        <f t="shared" si="9"/>
        <v>447321</v>
      </c>
      <c r="H212" s="18">
        <v>739258</v>
      </c>
      <c r="I212" s="19">
        <f t="shared" si="10"/>
        <v>0.60509456779635795</v>
      </c>
      <c r="J212" s="18">
        <v>67129</v>
      </c>
      <c r="K212" s="18">
        <f t="shared" si="11"/>
        <v>380192</v>
      </c>
    </row>
    <row r="213" spans="1:11" x14ac:dyDescent="0.2">
      <c r="A213" s="16" t="s">
        <v>33</v>
      </c>
      <c r="B213" s="16" t="s">
        <v>22</v>
      </c>
      <c r="C213" s="16" t="s">
        <v>23</v>
      </c>
      <c r="D213" s="16" t="s">
        <v>17</v>
      </c>
      <c r="E213" s="17">
        <v>255</v>
      </c>
      <c r="F213" s="18">
        <v>2499</v>
      </c>
      <c r="G213" s="18">
        <f t="shared" si="9"/>
        <v>637245</v>
      </c>
      <c r="H213" s="18">
        <v>655361</v>
      </c>
      <c r="I213" s="19">
        <f t="shared" si="10"/>
        <v>0.97235721991391</v>
      </c>
      <c r="J213" s="18">
        <v>64053</v>
      </c>
      <c r="K213" s="18">
        <f t="shared" si="11"/>
        <v>573192</v>
      </c>
    </row>
    <row r="214" spans="1:11" x14ac:dyDescent="0.2">
      <c r="A214" s="16" t="s">
        <v>33</v>
      </c>
      <c r="B214" s="16" t="s">
        <v>22</v>
      </c>
      <c r="C214" s="16" t="s">
        <v>24</v>
      </c>
      <c r="D214" s="16" t="s">
        <v>14</v>
      </c>
      <c r="E214" s="17">
        <v>127</v>
      </c>
      <c r="F214" s="18">
        <v>999</v>
      </c>
      <c r="G214" s="18">
        <f t="shared" si="9"/>
        <v>126873</v>
      </c>
      <c r="H214" s="18">
        <v>1680360</v>
      </c>
      <c r="I214" s="19">
        <f t="shared" si="10"/>
        <v>7.5503463543526383E-2</v>
      </c>
      <c r="J214" s="18">
        <v>129648</v>
      </c>
      <c r="K214" s="18">
        <f t="shared" si="11"/>
        <v>-2775</v>
      </c>
    </row>
    <row r="215" spans="1:11" x14ac:dyDescent="0.2">
      <c r="A215" s="16" t="s">
        <v>33</v>
      </c>
      <c r="B215" s="16" t="s">
        <v>22</v>
      </c>
      <c r="C215" s="16" t="s">
        <v>24</v>
      </c>
      <c r="D215" s="16" t="s">
        <v>15</v>
      </c>
      <c r="E215" s="17">
        <v>93</v>
      </c>
      <c r="F215" s="18">
        <v>999</v>
      </c>
      <c r="G215" s="18">
        <f t="shared" si="9"/>
        <v>92907</v>
      </c>
      <c r="H215" s="18">
        <v>748410</v>
      </c>
      <c r="I215" s="19">
        <f t="shared" si="10"/>
        <v>0.12413917505110834</v>
      </c>
      <c r="J215" s="18">
        <v>196295</v>
      </c>
      <c r="K215" s="18">
        <f t="shared" si="11"/>
        <v>-103388</v>
      </c>
    </row>
    <row r="216" spans="1:11" x14ac:dyDescent="0.2">
      <c r="A216" s="16" t="s">
        <v>33</v>
      </c>
      <c r="B216" s="16" t="s">
        <v>22</v>
      </c>
      <c r="C216" s="16" t="s">
        <v>24</v>
      </c>
      <c r="D216" s="16" t="s">
        <v>16</v>
      </c>
      <c r="E216" s="17">
        <v>263</v>
      </c>
      <c r="F216" s="18">
        <v>4999</v>
      </c>
      <c r="G216" s="18">
        <f t="shared" si="9"/>
        <v>1314737</v>
      </c>
      <c r="H216" s="18">
        <v>1750168</v>
      </c>
      <c r="I216" s="19">
        <f t="shared" si="10"/>
        <v>0.7512061699219732</v>
      </c>
      <c r="J216" s="18">
        <v>109162</v>
      </c>
      <c r="K216" s="18">
        <f t="shared" si="11"/>
        <v>1205575</v>
      </c>
    </row>
    <row r="217" spans="1:11" x14ac:dyDescent="0.2">
      <c r="A217" s="16" t="s">
        <v>33</v>
      </c>
      <c r="B217" s="16" t="s">
        <v>22</v>
      </c>
      <c r="C217" s="16" t="s">
        <v>24</v>
      </c>
      <c r="D217" s="16" t="s">
        <v>17</v>
      </c>
      <c r="E217" s="17">
        <v>317</v>
      </c>
      <c r="F217" s="18">
        <v>2499</v>
      </c>
      <c r="G217" s="18">
        <f t="shared" si="9"/>
        <v>792183</v>
      </c>
      <c r="H217" s="18">
        <v>1444797</v>
      </c>
      <c r="I217" s="19">
        <f t="shared" si="10"/>
        <v>0.54830055710248571</v>
      </c>
      <c r="J217" s="18">
        <v>166056</v>
      </c>
      <c r="K217" s="18">
        <f t="shared" si="11"/>
        <v>626127</v>
      </c>
    </row>
    <row r="218" spans="1:11" x14ac:dyDescent="0.2">
      <c r="A218" s="16" t="s">
        <v>33</v>
      </c>
      <c r="B218" s="16" t="s">
        <v>25</v>
      </c>
      <c r="C218" s="16" t="s">
        <v>26</v>
      </c>
      <c r="D218" s="16" t="s">
        <v>14</v>
      </c>
      <c r="E218" s="17">
        <v>202</v>
      </c>
      <c r="F218" s="18">
        <v>4999</v>
      </c>
      <c r="G218" s="18">
        <f t="shared" si="9"/>
        <v>1009798</v>
      </c>
      <c r="H218" s="18">
        <v>1399321</v>
      </c>
      <c r="I218" s="19">
        <f t="shared" si="10"/>
        <v>0.72163427833928029</v>
      </c>
      <c r="J218" s="18">
        <v>130053</v>
      </c>
      <c r="K218" s="18">
        <f t="shared" si="11"/>
        <v>879745</v>
      </c>
    </row>
    <row r="219" spans="1:11" x14ac:dyDescent="0.2">
      <c r="A219" s="16" t="s">
        <v>33</v>
      </c>
      <c r="B219" s="16" t="s">
        <v>25</v>
      </c>
      <c r="C219" s="16" t="s">
        <v>26</v>
      </c>
      <c r="D219" s="16" t="s">
        <v>15</v>
      </c>
      <c r="E219" s="17">
        <v>341</v>
      </c>
      <c r="F219" s="18">
        <v>4999</v>
      </c>
      <c r="G219" s="18">
        <f t="shared" si="9"/>
        <v>1704659</v>
      </c>
      <c r="H219" s="18">
        <v>626312</v>
      </c>
      <c r="I219" s="19">
        <f t="shared" si="10"/>
        <v>2.721740921457676</v>
      </c>
      <c r="J219" s="18">
        <v>76013</v>
      </c>
      <c r="K219" s="18">
        <f t="shared" si="11"/>
        <v>1628646</v>
      </c>
    </row>
    <row r="220" spans="1:11" x14ac:dyDescent="0.2">
      <c r="A220" s="16" t="s">
        <v>33</v>
      </c>
      <c r="B220" s="16" t="s">
        <v>25</v>
      </c>
      <c r="C220" s="16" t="s">
        <v>26</v>
      </c>
      <c r="D220" s="16" t="s">
        <v>16</v>
      </c>
      <c r="E220" s="17">
        <v>156</v>
      </c>
      <c r="F220" s="18">
        <v>999</v>
      </c>
      <c r="G220" s="18">
        <f t="shared" si="9"/>
        <v>155844</v>
      </c>
      <c r="H220" s="18">
        <v>1055003</v>
      </c>
      <c r="I220" s="19">
        <f t="shared" si="10"/>
        <v>0.1477190112255605</v>
      </c>
      <c r="J220" s="18">
        <v>71282</v>
      </c>
      <c r="K220" s="18">
        <f t="shared" si="11"/>
        <v>84562</v>
      </c>
    </row>
    <row r="221" spans="1:11" x14ac:dyDescent="0.2">
      <c r="A221" s="16" t="s">
        <v>33</v>
      </c>
      <c r="B221" s="16" t="s">
        <v>25</v>
      </c>
      <c r="C221" s="16" t="s">
        <v>26</v>
      </c>
      <c r="D221" s="16" t="s">
        <v>17</v>
      </c>
      <c r="E221" s="17">
        <v>130</v>
      </c>
      <c r="F221" s="18">
        <v>999</v>
      </c>
      <c r="G221" s="18">
        <f t="shared" si="9"/>
        <v>129870</v>
      </c>
      <c r="H221" s="18">
        <v>864513</v>
      </c>
      <c r="I221" s="19">
        <f t="shared" si="10"/>
        <v>0.15022330491270808</v>
      </c>
      <c r="J221" s="18">
        <v>194701</v>
      </c>
      <c r="K221" s="18">
        <f t="shared" si="11"/>
        <v>-64831</v>
      </c>
    </row>
    <row r="222" spans="1:11" x14ac:dyDescent="0.2">
      <c r="A222" s="16" t="s">
        <v>33</v>
      </c>
      <c r="B222" s="16" t="s">
        <v>25</v>
      </c>
      <c r="C222" s="16" t="s">
        <v>27</v>
      </c>
      <c r="D222" s="16" t="s">
        <v>14</v>
      </c>
      <c r="E222" s="17">
        <v>88</v>
      </c>
      <c r="F222" s="18">
        <v>999</v>
      </c>
      <c r="G222" s="18">
        <f t="shared" si="9"/>
        <v>87912</v>
      </c>
      <c r="H222" s="18">
        <v>505611</v>
      </c>
      <c r="I222" s="19">
        <f t="shared" si="10"/>
        <v>0.17387279944463233</v>
      </c>
      <c r="J222" s="18">
        <v>157090</v>
      </c>
      <c r="K222" s="18">
        <f t="shared" si="11"/>
        <v>-69178</v>
      </c>
    </row>
    <row r="223" spans="1:11" x14ac:dyDescent="0.2">
      <c r="A223" s="16" t="s">
        <v>33</v>
      </c>
      <c r="B223" s="16" t="s">
        <v>25</v>
      </c>
      <c r="C223" s="16" t="s">
        <v>27</v>
      </c>
      <c r="D223" s="16" t="s">
        <v>15</v>
      </c>
      <c r="E223" s="17">
        <v>280</v>
      </c>
      <c r="F223" s="18">
        <v>4999</v>
      </c>
      <c r="G223" s="18">
        <f t="shared" si="9"/>
        <v>1399720</v>
      </c>
      <c r="H223" s="18">
        <v>1485477</v>
      </c>
      <c r="I223" s="19">
        <f t="shared" si="10"/>
        <v>0.94226972211619564</v>
      </c>
      <c r="J223" s="18">
        <v>126351</v>
      </c>
      <c r="K223" s="18">
        <f t="shared" si="11"/>
        <v>1273369</v>
      </c>
    </row>
    <row r="224" spans="1:11" x14ac:dyDescent="0.2">
      <c r="A224" s="16" t="s">
        <v>33</v>
      </c>
      <c r="B224" s="16" t="s">
        <v>25</v>
      </c>
      <c r="C224" s="16" t="s">
        <v>27</v>
      </c>
      <c r="D224" s="16" t="s">
        <v>16</v>
      </c>
      <c r="E224" s="17">
        <v>66</v>
      </c>
      <c r="F224" s="18">
        <v>999</v>
      </c>
      <c r="G224" s="18">
        <f t="shared" si="9"/>
        <v>65934</v>
      </c>
      <c r="H224" s="18">
        <v>1104199</v>
      </c>
      <c r="I224" s="19">
        <f t="shared" si="10"/>
        <v>5.9712062771293942E-2</v>
      </c>
      <c r="J224" s="18">
        <v>124112</v>
      </c>
      <c r="K224" s="18">
        <f t="shared" si="11"/>
        <v>-58178</v>
      </c>
    </row>
    <row r="225" spans="1:11" x14ac:dyDescent="0.2">
      <c r="A225" s="16" t="s">
        <v>33</v>
      </c>
      <c r="B225" s="16" t="s">
        <v>25</v>
      </c>
      <c r="C225" s="16" t="s">
        <v>27</v>
      </c>
      <c r="D225" s="16" t="s">
        <v>17</v>
      </c>
      <c r="E225" s="17">
        <v>282</v>
      </c>
      <c r="F225" s="18">
        <v>500</v>
      </c>
      <c r="G225" s="18">
        <f t="shared" si="9"/>
        <v>141000</v>
      </c>
      <c r="H225" s="18">
        <v>1941550</v>
      </c>
      <c r="I225" s="19">
        <f t="shared" si="10"/>
        <v>7.2622389328114142E-2</v>
      </c>
      <c r="J225" s="18">
        <v>111190</v>
      </c>
      <c r="K225" s="18">
        <f t="shared" si="11"/>
        <v>29810</v>
      </c>
    </row>
    <row r="226" spans="1:11" x14ac:dyDescent="0.2">
      <c r="A226" s="16" t="s">
        <v>34</v>
      </c>
      <c r="B226" s="16" t="s">
        <v>12</v>
      </c>
      <c r="C226" s="16" t="s">
        <v>13</v>
      </c>
      <c r="D226" s="16" t="s">
        <v>14</v>
      </c>
      <c r="E226" s="17">
        <v>185</v>
      </c>
      <c r="F226" s="18">
        <v>4999</v>
      </c>
      <c r="G226" s="18">
        <f t="shared" si="9"/>
        <v>924815</v>
      </c>
      <c r="H226" s="18">
        <v>1886601</v>
      </c>
      <c r="I226" s="19">
        <f t="shared" si="10"/>
        <v>0.49020169076556197</v>
      </c>
      <c r="J226" s="18">
        <v>101857</v>
      </c>
      <c r="K226" s="18">
        <f t="shared" si="11"/>
        <v>822958</v>
      </c>
    </row>
    <row r="227" spans="1:11" x14ac:dyDescent="0.2">
      <c r="A227" s="16" t="s">
        <v>34</v>
      </c>
      <c r="B227" s="16" t="s">
        <v>12</v>
      </c>
      <c r="C227" s="16" t="s">
        <v>13</v>
      </c>
      <c r="D227" s="16" t="s">
        <v>15</v>
      </c>
      <c r="E227" s="17">
        <v>267</v>
      </c>
      <c r="F227" s="18">
        <v>500</v>
      </c>
      <c r="G227" s="18">
        <f t="shared" si="9"/>
        <v>133500</v>
      </c>
      <c r="H227" s="18">
        <v>1642030</v>
      </c>
      <c r="I227" s="19">
        <f t="shared" si="10"/>
        <v>8.1301803255726141E-2</v>
      </c>
      <c r="J227" s="18">
        <v>108932</v>
      </c>
      <c r="K227" s="18">
        <f t="shared" si="11"/>
        <v>24568</v>
      </c>
    </row>
    <row r="228" spans="1:11" x14ac:dyDescent="0.2">
      <c r="A228" s="16" t="s">
        <v>34</v>
      </c>
      <c r="B228" s="16" t="s">
        <v>12</v>
      </c>
      <c r="C228" s="16" t="s">
        <v>13</v>
      </c>
      <c r="D228" s="16" t="s">
        <v>16</v>
      </c>
      <c r="E228" s="17">
        <v>381</v>
      </c>
      <c r="F228" s="18">
        <v>999</v>
      </c>
      <c r="G228" s="18">
        <f t="shared" si="9"/>
        <v>380619</v>
      </c>
      <c r="H228" s="18">
        <v>1057071</v>
      </c>
      <c r="I228" s="19">
        <f t="shared" si="10"/>
        <v>0.3600694749926921</v>
      </c>
      <c r="J228" s="18">
        <v>87286</v>
      </c>
      <c r="K228" s="18">
        <f t="shared" si="11"/>
        <v>293333</v>
      </c>
    </row>
    <row r="229" spans="1:11" x14ac:dyDescent="0.2">
      <c r="A229" s="16" t="s">
        <v>34</v>
      </c>
      <c r="B229" s="16" t="s">
        <v>12</v>
      </c>
      <c r="C229" s="16" t="s">
        <v>13</v>
      </c>
      <c r="D229" s="16" t="s">
        <v>17</v>
      </c>
      <c r="E229" s="17">
        <v>86</v>
      </c>
      <c r="F229" s="18">
        <v>500</v>
      </c>
      <c r="G229" s="18">
        <f t="shared" si="9"/>
        <v>43000</v>
      </c>
      <c r="H229" s="18">
        <v>847965</v>
      </c>
      <c r="I229" s="19">
        <f t="shared" si="10"/>
        <v>5.0709640138449114E-2</v>
      </c>
      <c r="J229" s="18">
        <v>130638</v>
      </c>
      <c r="K229" s="18">
        <f t="shared" si="11"/>
        <v>-87638</v>
      </c>
    </row>
    <row r="230" spans="1:11" x14ac:dyDescent="0.2">
      <c r="A230" s="16" t="s">
        <v>34</v>
      </c>
      <c r="B230" s="16" t="s">
        <v>12</v>
      </c>
      <c r="C230" s="16" t="s">
        <v>18</v>
      </c>
      <c r="D230" s="16" t="s">
        <v>14</v>
      </c>
      <c r="E230" s="17">
        <v>354</v>
      </c>
      <c r="F230" s="18">
        <v>4999</v>
      </c>
      <c r="G230" s="18">
        <f t="shared" si="9"/>
        <v>1769646</v>
      </c>
      <c r="H230" s="18">
        <v>1105260</v>
      </c>
      <c r="I230" s="19">
        <f t="shared" si="10"/>
        <v>1.601112860322458</v>
      </c>
      <c r="J230" s="18">
        <v>165121</v>
      </c>
      <c r="K230" s="18">
        <f t="shared" si="11"/>
        <v>1604525</v>
      </c>
    </row>
    <row r="231" spans="1:11" x14ac:dyDescent="0.2">
      <c r="A231" s="16" t="s">
        <v>34</v>
      </c>
      <c r="B231" s="16" t="s">
        <v>12</v>
      </c>
      <c r="C231" s="16" t="s">
        <v>18</v>
      </c>
      <c r="D231" s="16" t="s">
        <v>15</v>
      </c>
      <c r="E231" s="17">
        <v>113</v>
      </c>
      <c r="F231" s="18">
        <v>2499</v>
      </c>
      <c r="G231" s="18">
        <f t="shared" si="9"/>
        <v>282387</v>
      </c>
      <c r="H231" s="18">
        <v>1944262</v>
      </c>
      <c r="I231" s="19">
        <f t="shared" si="10"/>
        <v>0.14524122777691484</v>
      </c>
      <c r="J231" s="18">
        <v>129715</v>
      </c>
      <c r="K231" s="18">
        <f t="shared" si="11"/>
        <v>152672</v>
      </c>
    </row>
    <row r="232" spans="1:11" x14ac:dyDescent="0.2">
      <c r="A232" s="16" t="s">
        <v>34</v>
      </c>
      <c r="B232" s="16" t="s">
        <v>12</v>
      </c>
      <c r="C232" s="16" t="s">
        <v>18</v>
      </c>
      <c r="D232" s="16" t="s">
        <v>16</v>
      </c>
      <c r="E232" s="17">
        <v>256</v>
      </c>
      <c r="F232" s="18">
        <v>1499</v>
      </c>
      <c r="G232" s="18">
        <f t="shared" si="9"/>
        <v>383744</v>
      </c>
      <c r="H232" s="18">
        <v>1549566</v>
      </c>
      <c r="I232" s="19">
        <f t="shared" si="10"/>
        <v>0.247646115105778</v>
      </c>
      <c r="J232" s="18">
        <v>191552</v>
      </c>
      <c r="K232" s="18">
        <f t="shared" si="11"/>
        <v>192192</v>
      </c>
    </row>
    <row r="233" spans="1:11" x14ac:dyDescent="0.2">
      <c r="A233" s="16" t="s">
        <v>34</v>
      </c>
      <c r="B233" s="16" t="s">
        <v>12</v>
      </c>
      <c r="C233" s="16" t="s">
        <v>18</v>
      </c>
      <c r="D233" s="16" t="s">
        <v>17</v>
      </c>
      <c r="E233" s="17">
        <v>302</v>
      </c>
      <c r="F233" s="18">
        <v>2499</v>
      </c>
      <c r="G233" s="18">
        <f t="shared" si="9"/>
        <v>754698</v>
      </c>
      <c r="H233" s="18">
        <v>668698</v>
      </c>
      <c r="I233" s="19">
        <f t="shared" si="10"/>
        <v>1.1286081310247675</v>
      </c>
      <c r="J233" s="18">
        <v>60449</v>
      </c>
      <c r="K233" s="18">
        <f t="shared" si="11"/>
        <v>694249</v>
      </c>
    </row>
    <row r="234" spans="1:11" x14ac:dyDescent="0.2">
      <c r="A234" s="16" t="s">
        <v>34</v>
      </c>
      <c r="B234" s="16" t="s">
        <v>19</v>
      </c>
      <c r="C234" s="16" t="s">
        <v>20</v>
      </c>
      <c r="D234" s="16" t="s">
        <v>14</v>
      </c>
      <c r="E234" s="17">
        <v>271</v>
      </c>
      <c r="F234" s="18">
        <v>1499</v>
      </c>
      <c r="G234" s="18">
        <f t="shared" si="9"/>
        <v>406229</v>
      </c>
      <c r="H234" s="18">
        <v>1766079</v>
      </c>
      <c r="I234" s="19">
        <f t="shared" si="10"/>
        <v>0.23001745675023597</v>
      </c>
      <c r="J234" s="18">
        <v>115632</v>
      </c>
      <c r="K234" s="18">
        <f t="shared" si="11"/>
        <v>290597</v>
      </c>
    </row>
    <row r="235" spans="1:11" x14ac:dyDescent="0.2">
      <c r="A235" s="16" t="s">
        <v>34</v>
      </c>
      <c r="B235" s="16" t="s">
        <v>19</v>
      </c>
      <c r="C235" s="16" t="s">
        <v>20</v>
      </c>
      <c r="D235" s="16" t="s">
        <v>15</v>
      </c>
      <c r="E235" s="17">
        <v>63</v>
      </c>
      <c r="F235" s="18">
        <v>500</v>
      </c>
      <c r="G235" s="18">
        <f t="shared" si="9"/>
        <v>31500</v>
      </c>
      <c r="H235" s="18">
        <v>980089</v>
      </c>
      <c r="I235" s="19">
        <f t="shared" si="10"/>
        <v>3.213993831172475E-2</v>
      </c>
      <c r="J235" s="18">
        <v>55438</v>
      </c>
      <c r="K235" s="18">
        <f t="shared" si="11"/>
        <v>-23938</v>
      </c>
    </row>
    <row r="236" spans="1:11" x14ac:dyDescent="0.2">
      <c r="A236" s="16" t="s">
        <v>34</v>
      </c>
      <c r="B236" s="16" t="s">
        <v>19</v>
      </c>
      <c r="C236" s="16" t="s">
        <v>20</v>
      </c>
      <c r="D236" s="16" t="s">
        <v>16</v>
      </c>
      <c r="E236" s="17">
        <v>394</v>
      </c>
      <c r="F236" s="18">
        <v>1499</v>
      </c>
      <c r="G236" s="18">
        <f t="shared" si="9"/>
        <v>590606</v>
      </c>
      <c r="H236" s="18">
        <v>1708477</v>
      </c>
      <c r="I236" s="19">
        <f t="shared" si="10"/>
        <v>0.34569151355271394</v>
      </c>
      <c r="J236" s="18">
        <v>60546</v>
      </c>
      <c r="K236" s="18">
        <f t="shared" si="11"/>
        <v>530060</v>
      </c>
    </row>
    <row r="237" spans="1:11" x14ac:dyDescent="0.2">
      <c r="A237" s="16" t="s">
        <v>34</v>
      </c>
      <c r="B237" s="16" t="s">
        <v>19</v>
      </c>
      <c r="C237" s="16" t="s">
        <v>20</v>
      </c>
      <c r="D237" s="16" t="s">
        <v>17</v>
      </c>
      <c r="E237" s="17">
        <v>139</v>
      </c>
      <c r="F237" s="18">
        <v>2499</v>
      </c>
      <c r="G237" s="18">
        <f t="shared" si="9"/>
        <v>347361</v>
      </c>
      <c r="H237" s="18">
        <v>1588346</v>
      </c>
      <c r="I237" s="19">
        <f t="shared" si="10"/>
        <v>0.21869353402847994</v>
      </c>
      <c r="J237" s="18">
        <v>165927</v>
      </c>
      <c r="K237" s="18">
        <f t="shared" si="11"/>
        <v>181434</v>
      </c>
    </row>
    <row r="238" spans="1:11" x14ac:dyDescent="0.2">
      <c r="A238" s="16" t="s">
        <v>34</v>
      </c>
      <c r="B238" s="16" t="s">
        <v>19</v>
      </c>
      <c r="C238" s="16" t="s">
        <v>21</v>
      </c>
      <c r="D238" s="16" t="s">
        <v>14</v>
      </c>
      <c r="E238" s="17">
        <v>192</v>
      </c>
      <c r="F238" s="18">
        <v>999</v>
      </c>
      <c r="G238" s="18">
        <f t="shared" si="9"/>
        <v>191808</v>
      </c>
      <c r="H238" s="18">
        <v>1727525</v>
      </c>
      <c r="I238" s="19">
        <f t="shared" si="10"/>
        <v>0.11103052054239447</v>
      </c>
      <c r="J238" s="18">
        <v>164264</v>
      </c>
      <c r="K238" s="18">
        <f t="shared" si="11"/>
        <v>27544</v>
      </c>
    </row>
    <row r="239" spans="1:11" x14ac:dyDescent="0.2">
      <c r="A239" s="16" t="s">
        <v>34</v>
      </c>
      <c r="B239" s="16" t="s">
        <v>19</v>
      </c>
      <c r="C239" s="16" t="s">
        <v>21</v>
      </c>
      <c r="D239" s="16" t="s">
        <v>15</v>
      </c>
      <c r="E239" s="17">
        <v>375</v>
      </c>
      <c r="F239" s="18">
        <v>2499</v>
      </c>
      <c r="G239" s="18">
        <f t="shared" si="9"/>
        <v>937125</v>
      </c>
      <c r="H239" s="18">
        <v>691349</v>
      </c>
      <c r="I239" s="19">
        <f t="shared" si="10"/>
        <v>1.3555020691430812</v>
      </c>
      <c r="J239" s="18">
        <v>173210</v>
      </c>
      <c r="K239" s="18">
        <f t="shared" si="11"/>
        <v>763915</v>
      </c>
    </row>
    <row r="240" spans="1:11" x14ac:dyDescent="0.2">
      <c r="A240" s="16" t="s">
        <v>34</v>
      </c>
      <c r="B240" s="16" t="s">
        <v>19</v>
      </c>
      <c r="C240" s="16" t="s">
        <v>21</v>
      </c>
      <c r="D240" s="16" t="s">
        <v>16</v>
      </c>
      <c r="E240" s="17">
        <v>228</v>
      </c>
      <c r="F240" s="18">
        <v>2499</v>
      </c>
      <c r="G240" s="18">
        <f t="shared" si="9"/>
        <v>569772</v>
      </c>
      <c r="H240" s="18">
        <v>1198998</v>
      </c>
      <c r="I240" s="19">
        <f t="shared" si="10"/>
        <v>0.4752067976760595</v>
      </c>
      <c r="J240" s="18">
        <v>134163</v>
      </c>
      <c r="K240" s="18">
        <f t="shared" si="11"/>
        <v>435609</v>
      </c>
    </row>
    <row r="241" spans="1:11" x14ac:dyDescent="0.2">
      <c r="A241" s="16" t="s">
        <v>34</v>
      </c>
      <c r="B241" s="16" t="s">
        <v>19</v>
      </c>
      <c r="C241" s="16" t="s">
        <v>21</v>
      </c>
      <c r="D241" s="16" t="s">
        <v>17</v>
      </c>
      <c r="E241" s="17">
        <v>393</v>
      </c>
      <c r="F241" s="18">
        <v>500</v>
      </c>
      <c r="G241" s="18">
        <f t="shared" si="9"/>
        <v>196500</v>
      </c>
      <c r="H241" s="18">
        <v>837274</v>
      </c>
      <c r="I241" s="19">
        <f t="shared" si="10"/>
        <v>0.23469019699644322</v>
      </c>
      <c r="J241" s="18">
        <v>136456</v>
      </c>
      <c r="K241" s="18">
        <f t="shared" si="11"/>
        <v>60044</v>
      </c>
    </row>
    <row r="242" spans="1:11" x14ac:dyDescent="0.2">
      <c r="A242" s="16" t="s">
        <v>34</v>
      </c>
      <c r="B242" s="16" t="s">
        <v>22</v>
      </c>
      <c r="C242" s="16" t="s">
        <v>23</v>
      </c>
      <c r="D242" s="16" t="s">
        <v>14</v>
      </c>
      <c r="E242" s="17">
        <v>260</v>
      </c>
      <c r="F242" s="18">
        <v>2499</v>
      </c>
      <c r="G242" s="18">
        <f t="shared" si="9"/>
        <v>649740</v>
      </c>
      <c r="H242" s="18">
        <v>1104436</v>
      </c>
      <c r="I242" s="19">
        <f t="shared" si="10"/>
        <v>0.58830027271838292</v>
      </c>
      <c r="J242" s="18">
        <v>154976</v>
      </c>
      <c r="K242" s="18">
        <f t="shared" si="11"/>
        <v>494764</v>
      </c>
    </row>
    <row r="243" spans="1:11" x14ac:dyDescent="0.2">
      <c r="A243" s="16" t="s">
        <v>34</v>
      </c>
      <c r="B243" s="16" t="s">
        <v>22</v>
      </c>
      <c r="C243" s="16" t="s">
        <v>23</v>
      </c>
      <c r="D243" s="16" t="s">
        <v>15</v>
      </c>
      <c r="E243" s="17">
        <v>331</v>
      </c>
      <c r="F243" s="18">
        <v>500</v>
      </c>
      <c r="G243" s="18">
        <f t="shared" si="9"/>
        <v>165500</v>
      </c>
      <c r="H243" s="18">
        <v>1453839</v>
      </c>
      <c r="I243" s="19">
        <f t="shared" si="10"/>
        <v>0.1138365389840278</v>
      </c>
      <c r="J243" s="18">
        <v>73084</v>
      </c>
      <c r="K243" s="18">
        <f t="shared" si="11"/>
        <v>92416</v>
      </c>
    </row>
    <row r="244" spans="1:11" x14ac:dyDescent="0.2">
      <c r="A244" s="16" t="s">
        <v>34</v>
      </c>
      <c r="B244" s="16" t="s">
        <v>22</v>
      </c>
      <c r="C244" s="16" t="s">
        <v>23</v>
      </c>
      <c r="D244" s="16" t="s">
        <v>16</v>
      </c>
      <c r="E244" s="17">
        <v>211</v>
      </c>
      <c r="F244" s="18">
        <v>1499</v>
      </c>
      <c r="G244" s="18">
        <f t="shared" si="9"/>
        <v>316289</v>
      </c>
      <c r="H244" s="18">
        <v>1177954</v>
      </c>
      <c r="I244" s="19">
        <f t="shared" si="10"/>
        <v>0.26850708941096174</v>
      </c>
      <c r="J244" s="18">
        <v>80388</v>
      </c>
      <c r="K244" s="18">
        <f t="shared" si="11"/>
        <v>235901</v>
      </c>
    </row>
    <row r="245" spans="1:11" x14ac:dyDescent="0.2">
      <c r="A245" s="16" t="s">
        <v>34</v>
      </c>
      <c r="B245" s="16" t="s">
        <v>22</v>
      </c>
      <c r="C245" s="16" t="s">
        <v>23</v>
      </c>
      <c r="D245" s="16" t="s">
        <v>17</v>
      </c>
      <c r="E245" s="17">
        <v>256</v>
      </c>
      <c r="F245" s="18">
        <v>4999</v>
      </c>
      <c r="G245" s="18">
        <f t="shared" si="9"/>
        <v>1279744</v>
      </c>
      <c r="H245" s="18">
        <v>502413</v>
      </c>
      <c r="I245" s="19">
        <f t="shared" si="10"/>
        <v>2.5471952357920675</v>
      </c>
      <c r="J245" s="18">
        <v>192237</v>
      </c>
      <c r="K245" s="18">
        <f t="shared" si="11"/>
        <v>1087507</v>
      </c>
    </row>
    <row r="246" spans="1:11" x14ac:dyDescent="0.2">
      <c r="A246" s="16" t="s">
        <v>34</v>
      </c>
      <c r="B246" s="16" t="s">
        <v>22</v>
      </c>
      <c r="C246" s="16" t="s">
        <v>24</v>
      </c>
      <c r="D246" s="16" t="s">
        <v>14</v>
      </c>
      <c r="E246" s="17">
        <v>286</v>
      </c>
      <c r="F246" s="18">
        <v>2499</v>
      </c>
      <c r="G246" s="18">
        <f t="shared" si="9"/>
        <v>714714</v>
      </c>
      <c r="H246" s="18">
        <v>613674</v>
      </c>
      <c r="I246" s="19">
        <f t="shared" si="10"/>
        <v>1.1646476793867755</v>
      </c>
      <c r="J246" s="18">
        <v>99173</v>
      </c>
      <c r="K246" s="18">
        <f t="shared" si="11"/>
        <v>615541</v>
      </c>
    </row>
    <row r="247" spans="1:11" x14ac:dyDescent="0.2">
      <c r="A247" s="16" t="s">
        <v>34</v>
      </c>
      <c r="B247" s="16" t="s">
        <v>22</v>
      </c>
      <c r="C247" s="16" t="s">
        <v>24</v>
      </c>
      <c r="D247" s="16" t="s">
        <v>15</v>
      </c>
      <c r="E247" s="17">
        <v>315</v>
      </c>
      <c r="F247" s="18">
        <v>1499</v>
      </c>
      <c r="G247" s="18">
        <f t="shared" si="9"/>
        <v>472185</v>
      </c>
      <c r="H247" s="18">
        <v>1805757</v>
      </c>
      <c r="I247" s="19">
        <f t="shared" si="10"/>
        <v>0.26148867206384913</v>
      </c>
      <c r="J247" s="18">
        <v>180676</v>
      </c>
      <c r="K247" s="18">
        <f t="shared" si="11"/>
        <v>291509</v>
      </c>
    </row>
    <row r="248" spans="1:11" x14ac:dyDescent="0.2">
      <c r="A248" s="16" t="s">
        <v>34</v>
      </c>
      <c r="B248" s="16" t="s">
        <v>22</v>
      </c>
      <c r="C248" s="16" t="s">
        <v>24</v>
      </c>
      <c r="D248" s="16" t="s">
        <v>16</v>
      </c>
      <c r="E248" s="17">
        <v>370</v>
      </c>
      <c r="F248" s="18">
        <v>2499</v>
      </c>
      <c r="G248" s="18">
        <f t="shared" si="9"/>
        <v>924630</v>
      </c>
      <c r="H248" s="18">
        <v>608237</v>
      </c>
      <c r="I248" s="19">
        <f t="shared" si="10"/>
        <v>1.5201804559735761</v>
      </c>
      <c r="J248" s="18">
        <v>103361</v>
      </c>
      <c r="K248" s="18">
        <f t="shared" si="11"/>
        <v>821269</v>
      </c>
    </row>
    <row r="249" spans="1:11" x14ac:dyDescent="0.2">
      <c r="A249" s="16" t="s">
        <v>34</v>
      </c>
      <c r="B249" s="16" t="s">
        <v>22</v>
      </c>
      <c r="C249" s="16" t="s">
        <v>24</v>
      </c>
      <c r="D249" s="16" t="s">
        <v>17</v>
      </c>
      <c r="E249" s="17">
        <v>186</v>
      </c>
      <c r="F249" s="18">
        <v>4999</v>
      </c>
      <c r="G249" s="18">
        <f t="shared" si="9"/>
        <v>929814</v>
      </c>
      <c r="H249" s="18">
        <v>774754</v>
      </c>
      <c r="I249" s="19">
        <f t="shared" si="10"/>
        <v>1.2001409479654186</v>
      </c>
      <c r="J249" s="18">
        <v>125505</v>
      </c>
      <c r="K249" s="18">
        <f t="shared" si="11"/>
        <v>804309</v>
      </c>
    </row>
    <row r="250" spans="1:11" x14ac:dyDescent="0.2">
      <c r="A250" s="16" t="s">
        <v>34</v>
      </c>
      <c r="B250" s="16" t="s">
        <v>25</v>
      </c>
      <c r="C250" s="16" t="s">
        <v>26</v>
      </c>
      <c r="D250" s="16" t="s">
        <v>14</v>
      </c>
      <c r="E250" s="17">
        <v>274</v>
      </c>
      <c r="F250" s="18">
        <v>2499</v>
      </c>
      <c r="G250" s="18">
        <f t="shared" si="9"/>
        <v>684726</v>
      </c>
      <c r="H250" s="18">
        <v>754648</v>
      </c>
      <c r="I250" s="19">
        <f t="shared" si="10"/>
        <v>0.90734488132215285</v>
      </c>
      <c r="J250" s="18">
        <v>57567</v>
      </c>
      <c r="K250" s="18">
        <f t="shared" si="11"/>
        <v>627159</v>
      </c>
    </row>
    <row r="251" spans="1:11" x14ac:dyDescent="0.2">
      <c r="A251" s="16" t="s">
        <v>34</v>
      </c>
      <c r="B251" s="16" t="s">
        <v>25</v>
      </c>
      <c r="C251" s="16" t="s">
        <v>26</v>
      </c>
      <c r="D251" s="16" t="s">
        <v>15</v>
      </c>
      <c r="E251" s="17">
        <v>372</v>
      </c>
      <c r="F251" s="18">
        <v>4999</v>
      </c>
      <c r="G251" s="18">
        <f t="shared" si="9"/>
        <v>1859628</v>
      </c>
      <c r="H251" s="18">
        <v>1001843</v>
      </c>
      <c r="I251" s="19">
        <f t="shared" si="10"/>
        <v>1.8562070104796859</v>
      </c>
      <c r="J251" s="18">
        <v>91517</v>
      </c>
      <c r="K251" s="18">
        <f t="shared" si="11"/>
        <v>1768111</v>
      </c>
    </row>
    <row r="252" spans="1:11" x14ac:dyDescent="0.2">
      <c r="A252" s="16" t="s">
        <v>34</v>
      </c>
      <c r="B252" s="16" t="s">
        <v>25</v>
      </c>
      <c r="C252" s="16" t="s">
        <v>26</v>
      </c>
      <c r="D252" s="16" t="s">
        <v>16</v>
      </c>
      <c r="E252" s="17">
        <v>209</v>
      </c>
      <c r="F252" s="18">
        <v>4999</v>
      </c>
      <c r="G252" s="18">
        <f t="shared" si="9"/>
        <v>1044791</v>
      </c>
      <c r="H252" s="18">
        <v>528677</v>
      </c>
      <c r="I252" s="19">
        <f t="shared" si="10"/>
        <v>1.9762369083580333</v>
      </c>
      <c r="J252" s="18">
        <v>194769</v>
      </c>
      <c r="K252" s="18">
        <f t="shared" si="11"/>
        <v>850022</v>
      </c>
    </row>
    <row r="253" spans="1:11" x14ac:dyDescent="0.2">
      <c r="A253" s="16" t="s">
        <v>34</v>
      </c>
      <c r="B253" s="16" t="s">
        <v>25</v>
      </c>
      <c r="C253" s="16" t="s">
        <v>26</v>
      </c>
      <c r="D253" s="16" t="s">
        <v>17</v>
      </c>
      <c r="E253" s="17">
        <v>258</v>
      </c>
      <c r="F253" s="18">
        <v>500</v>
      </c>
      <c r="G253" s="18">
        <f t="shared" si="9"/>
        <v>129000</v>
      </c>
      <c r="H253" s="18">
        <v>971231</v>
      </c>
      <c r="I253" s="19">
        <f t="shared" si="10"/>
        <v>0.13282113112122657</v>
      </c>
      <c r="J253" s="18">
        <v>79743</v>
      </c>
      <c r="K253" s="18">
        <f t="shared" si="11"/>
        <v>49257</v>
      </c>
    </row>
    <row r="254" spans="1:11" x14ac:dyDescent="0.2">
      <c r="A254" s="16" t="s">
        <v>34</v>
      </c>
      <c r="B254" s="16" t="s">
        <v>25</v>
      </c>
      <c r="C254" s="16" t="s">
        <v>27</v>
      </c>
      <c r="D254" s="16" t="s">
        <v>14</v>
      </c>
      <c r="E254" s="17">
        <v>286</v>
      </c>
      <c r="F254" s="18">
        <v>500</v>
      </c>
      <c r="G254" s="18">
        <f t="shared" si="9"/>
        <v>143000</v>
      </c>
      <c r="H254" s="18">
        <v>1858345</v>
      </c>
      <c r="I254" s="19">
        <f t="shared" si="10"/>
        <v>7.6950189550379508E-2</v>
      </c>
      <c r="J254" s="18">
        <v>90362</v>
      </c>
      <c r="K254" s="18">
        <f t="shared" si="11"/>
        <v>52638</v>
      </c>
    </row>
    <row r="255" spans="1:11" x14ac:dyDescent="0.2">
      <c r="A255" s="16" t="s">
        <v>34</v>
      </c>
      <c r="B255" s="16" t="s">
        <v>25</v>
      </c>
      <c r="C255" s="16" t="s">
        <v>27</v>
      </c>
      <c r="D255" s="16" t="s">
        <v>15</v>
      </c>
      <c r="E255" s="17">
        <v>305</v>
      </c>
      <c r="F255" s="18">
        <v>1499</v>
      </c>
      <c r="G255" s="18">
        <f t="shared" si="9"/>
        <v>457195</v>
      </c>
      <c r="H255" s="18">
        <v>1567181</v>
      </c>
      <c r="I255" s="19">
        <f t="shared" si="10"/>
        <v>0.29173082113680548</v>
      </c>
      <c r="J255" s="18">
        <v>121676</v>
      </c>
      <c r="K255" s="18">
        <f t="shared" si="11"/>
        <v>335519</v>
      </c>
    </row>
    <row r="256" spans="1:11" x14ac:dyDescent="0.2">
      <c r="A256" s="16" t="s">
        <v>34</v>
      </c>
      <c r="B256" s="16" t="s">
        <v>25</v>
      </c>
      <c r="C256" s="16" t="s">
        <v>27</v>
      </c>
      <c r="D256" s="16" t="s">
        <v>16</v>
      </c>
      <c r="E256" s="17">
        <v>262</v>
      </c>
      <c r="F256" s="18">
        <v>2499</v>
      </c>
      <c r="G256" s="18">
        <f t="shared" si="9"/>
        <v>654738</v>
      </c>
      <c r="H256" s="18">
        <v>1490316</v>
      </c>
      <c r="I256" s="19">
        <f t="shared" si="10"/>
        <v>0.43932830352757402</v>
      </c>
      <c r="J256" s="18">
        <v>113892</v>
      </c>
      <c r="K256" s="18">
        <f t="shared" si="11"/>
        <v>540846</v>
      </c>
    </row>
    <row r="257" spans="1:11" x14ac:dyDescent="0.2">
      <c r="A257" s="16" t="s">
        <v>34</v>
      </c>
      <c r="B257" s="16" t="s">
        <v>25</v>
      </c>
      <c r="C257" s="16" t="s">
        <v>27</v>
      </c>
      <c r="D257" s="16" t="s">
        <v>17</v>
      </c>
      <c r="E257" s="17">
        <v>283</v>
      </c>
      <c r="F257" s="18">
        <v>4999</v>
      </c>
      <c r="G257" s="18">
        <f t="shared" si="9"/>
        <v>1414717</v>
      </c>
      <c r="H257" s="18">
        <v>803336</v>
      </c>
      <c r="I257" s="19">
        <f t="shared" si="10"/>
        <v>1.7610526604061065</v>
      </c>
      <c r="J257" s="18">
        <v>150554</v>
      </c>
      <c r="K257" s="18">
        <f t="shared" si="11"/>
        <v>1264163</v>
      </c>
    </row>
    <row r="258" spans="1:11" x14ac:dyDescent="0.2">
      <c r="A258" s="16" t="s">
        <v>35</v>
      </c>
      <c r="B258" s="16" t="s">
        <v>12</v>
      </c>
      <c r="C258" s="16" t="s">
        <v>13</v>
      </c>
      <c r="D258" s="16" t="s">
        <v>14</v>
      </c>
      <c r="E258" s="17">
        <v>147</v>
      </c>
      <c r="F258" s="18">
        <v>4999</v>
      </c>
      <c r="G258" s="18">
        <f t="shared" ref="G258:G321" si="12">E258*F258</f>
        <v>734853</v>
      </c>
      <c r="H258" s="18">
        <v>1565858</v>
      </c>
      <c r="I258" s="19">
        <f t="shared" ref="I258:I321" si="13">IF(H258=0,0,G258/H258)</f>
        <v>0.46929734369272308</v>
      </c>
      <c r="J258" s="18">
        <v>85784</v>
      </c>
      <c r="K258" s="18">
        <f t="shared" ref="K258:K321" si="14">G258-J258</f>
        <v>649069</v>
      </c>
    </row>
    <row r="259" spans="1:11" x14ac:dyDescent="0.2">
      <c r="A259" s="16" t="s">
        <v>35</v>
      </c>
      <c r="B259" s="16" t="s">
        <v>12</v>
      </c>
      <c r="C259" s="16" t="s">
        <v>13</v>
      </c>
      <c r="D259" s="16" t="s">
        <v>15</v>
      </c>
      <c r="E259" s="17">
        <v>85</v>
      </c>
      <c r="F259" s="18">
        <v>1499</v>
      </c>
      <c r="G259" s="18">
        <f t="shared" si="12"/>
        <v>127415</v>
      </c>
      <c r="H259" s="18">
        <v>1370197</v>
      </c>
      <c r="I259" s="19">
        <f t="shared" si="13"/>
        <v>9.2990278040310986E-2</v>
      </c>
      <c r="J259" s="18">
        <v>139096</v>
      </c>
      <c r="K259" s="18">
        <f t="shared" si="14"/>
        <v>-11681</v>
      </c>
    </row>
    <row r="260" spans="1:11" x14ac:dyDescent="0.2">
      <c r="A260" s="16" t="s">
        <v>35</v>
      </c>
      <c r="B260" s="16" t="s">
        <v>12</v>
      </c>
      <c r="C260" s="16" t="s">
        <v>13</v>
      </c>
      <c r="D260" s="16" t="s">
        <v>16</v>
      </c>
      <c r="E260" s="17">
        <v>309</v>
      </c>
      <c r="F260" s="18">
        <v>1499</v>
      </c>
      <c r="G260" s="18">
        <f t="shared" si="12"/>
        <v>463191</v>
      </c>
      <c r="H260" s="18">
        <v>505379</v>
      </c>
      <c r="I260" s="19">
        <f t="shared" si="13"/>
        <v>0.91652205572451562</v>
      </c>
      <c r="J260" s="18">
        <v>124144</v>
      </c>
      <c r="K260" s="18">
        <f t="shared" si="14"/>
        <v>339047</v>
      </c>
    </row>
    <row r="261" spans="1:11" x14ac:dyDescent="0.2">
      <c r="A261" s="16" t="s">
        <v>35</v>
      </c>
      <c r="B261" s="16" t="s">
        <v>12</v>
      </c>
      <c r="C261" s="16" t="s">
        <v>13</v>
      </c>
      <c r="D261" s="16" t="s">
        <v>17</v>
      </c>
      <c r="E261" s="17">
        <v>202</v>
      </c>
      <c r="F261" s="18">
        <v>4999</v>
      </c>
      <c r="G261" s="18">
        <f t="shared" si="12"/>
        <v>1009798</v>
      </c>
      <c r="H261" s="18">
        <v>1716187</v>
      </c>
      <c r="I261" s="19">
        <f t="shared" si="13"/>
        <v>0.58839625285589503</v>
      </c>
      <c r="J261" s="18">
        <v>178356</v>
      </c>
      <c r="K261" s="18">
        <f t="shared" si="14"/>
        <v>831442</v>
      </c>
    </row>
    <row r="262" spans="1:11" x14ac:dyDescent="0.2">
      <c r="A262" s="16" t="s">
        <v>35</v>
      </c>
      <c r="B262" s="16" t="s">
        <v>12</v>
      </c>
      <c r="C262" s="16" t="s">
        <v>18</v>
      </c>
      <c r="D262" s="16" t="s">
        <v>14</v>
      </c>
      <c r="E262" s="17">
        <v>126</v>
      </c>
      <c r="F262" s="18">
        <v>2499</v>
      </c>
      <c r="G262" s="18">
        <f t="shared" si="12"/>
        <v>314874</v>
      </c>
      <c r="H262" s="18">
        <v>1629485</v>
      </c>
      <c r="I262" s="19">
        <f t="shared" si="13"/>
        <v>0.19323528599526843</v>
      </c>
      <c r="J262" s="18">
        <v>176967</v>
      </c>
      <c r="K262" s="18">
        <f t="shared" si="14"/>
        <v>137907</v>
      </c>
    </row>
    <row r="263" spans="1:11" x14ac:dyDescent="0.2">
      <c r="A263" s="16" t="s">
        <v>35</v>
      </c>
      <c r="B263" s="16" t="s">
        <v>12</v>
      </c>
      <c r="C263" s="16" t="s">
        <v>18</v>
      </c>
      <c r="D263" s="16" t="s">
        <v>15</v>
      </c>
      <c r="E263" s="17">
        <v>226</v>
      </c>
      <c r="F263" s="18">
        <v>1499</v>
      </c>
      <c r="G263" s="18">
        <f t="shared" si="12"/>
        <v>338774</v>
      </c>
      <c r="H263" s="18">
        <v>1657454</v>
      </c>
      <c r="I263" s="19">
        <f t="shared" si="13"/>
        <v>0.20439420943205663</v>
      </c>
      <c r="J263" s="18">
        <v>192456</v>
      </c>
      <c r="K263" s="18">
        <f t="shared" si="14"/>
        <v>146318</v>
      </c>
    </row>
    <row r="264" spans="1:11" x14ac:dyDescent="0.2">
      <c r="A264" s="16" t="s">
        <v>35</v>
      </c>
      <c r="B264" s="16" t="s">
        <v>12</v>
      </c>
      <c r="C264" s="16" t="s">
        <v>18</v>
      </c>
      <c r="D264" s="16" t="s">
        <v>16</v>
      </c>
      <c r="E264" s="17">
        <v>243</v>
      </c>
      <c r="F264" s="18">
        <v>2499</v>
      </c>
      <c r="G264" s="18">
        <f t="shared" si="12"/>
        <v>607257</v>
      </c>
      <c r="H264" s="18">
        <v>1174816</v>
      </c>
      <c r="I264" s="19">
        <f t="shared" si="13"/>
        <v>0.5168954117070248</v>
      </c>
      <c r="J264" s="18">
        <v>99454</v>
      </c>
      <c r="K264" s="18">
        <f t="shared" si="14"/>
        <v>507803</v>
      </c>
    </row>
    <row r="265" spans="1:11" x14ac:dyDescent="0.2">
      <c r="A265" s="16" t="s">
        <v>35</v>
      </c>
      <c r="B265" s="16" t="s">
        <v>12</v>
      </c>
      <c r="C265" s="16" t="s">
        <v>18</v>
      </c>
      <c r="D265" s="16" t="s">
        <v>17</v>
      </c>
      <c r="E265" s="17">
        <v>172</v>
      </c>
      <c r="F265" s="18">
        <v>4999</v>
      </c>
      <c r="G265" s="18">
        <f t="shared" si="12"/>
        <v>859828</v>
      </c>
      <c r="H265" s="18">
        <v>1303148</v>
      </c>
      <c r="I265" s="19">
        <f t="shared" si="13"/>
        <v>0.65980840242244165</v>
      </c>
      <c r="J265" s="18">
        <v>111226</v>
      </c>
      <c r="K265" s="18">
        <f t="shared" si="14"/>
        <v>748602</v>
      </c>
    </row>
    <row r="266" spans="1:11" x14ac:dyDescent="0.2">
      <c r="A266" s="16" t="s">
        <v>35</v>
      </c>
      <c r="B266" s="16" t="s">
        <v>19</v>
      </c>
      <c r="C266" s="16" t="s">
        <v>20</v>
      </c>
      <c r="D266" s="16" t="s">
        <v>14</v>
      </c>
      <c r="E266" s="17">
        <v>260</v>
      </c>
      <c r="F266" s="18">
        <v>500</v>
      </c>
      <c r="G266" s="18">
        <f t="shared" si="12"/>
        <v>130000</v>
      </c>
      <c r="H266" s="18">
        <v>1167264</v>
      </c>
      <c r="I266" s="19">
        <f t="shared" si="13"/>
        <v>0.11137154919538339</v>
      </c>
      <c r="J266" s="18">
        <v>173987</v>
      </c>
      <c r="K266" s="18">
        <f t="shared" si="14"/>
        <v>-43987</v>
      </c>
    </row>
    <row r="267" spans="1:11" x14ac:dyDescent="0.2">
      <c r="A267" s="16" t="s">
        <v>35</v>
      </c>
      <c r="B267" s="16" t="s">
        <v>19</v>
      </c>
      <c r="C267" s="16" t="s">
        <v>20</v>
      </c>
      <c r="D267" s="16" t="s">
        <v>15</v>
      </c>
      <c r="E267" s="17">
        <v>245</v>
      </c>
      <c r="F267" s="18">
        <v>2499</v>
      </c>
      <c r="G267" s="18">
        <f t="shared" si="12"/>
        <v>612255</v>
      </c>
      <c r="H267" s="18">
        <v>1891856</v>
      </c>
      <c r="I267" s="19">
        <f t="shared" si="13"/>
        <v>0.32362663965967814</v>
      </c>
      <c r="J267" s="18">
        <v>89873</v>
      </c>
      <c r="K267" s="18">
        <f t="shared" si="14"/>
        <v>522382</v>
      </c>
    </row>
    <row r="268" spans="1:11" x14ac:dyDescent="0.2">
      <c r="A268" s="16" t="s">
        <v>35</v>
      </c>
      <c r="B268" s="16" t="s">
        <v>19</v>
      </c>
      <c r="C268" s="16" t="s">
        <v>20</v>
      </c>
      <c r="D268" s="16" t="s">
        <v>16</v>
      </c>
      <c r="E268" s="17">
        <v>303</v>
      </c>
      <c r="F268" s="18">
        <v>500</v>
      </c>
      <c r="G268" s="18">
        <f t="shared" si="12"/>
        <v>151500</v>
      </c>
      <c r="H268" s="18">
        <v>764757</v>
      </c>
      <c r="I268" s="19">
        <f t="shared" si="13"/>
        <v>0.19810214224910658</v>
      </c>
      <c r="J268" s="18">
        <v>181672</v>
      </c>
      <c r="K268" s="18">
        <f t="shared" si="14"/>
        <v>-30172</v>
      </c>
    </row>
    <row r="269" spans="1:11" x14ac:dyDescent="0.2">
      <c r="A269" s="16" t="s">
        <v>35</v>
      </c>
      <c r="B269" s="16" t="s">
        <v>19</v>
      </c>
      <c r="C269" s="16" t="s">
        <v>20</v>
      </c>
      <c r="D269" s="16" t="s">
        <v>17</v>
      </c>
      <c r="E269" s="17">
        <v>352</v>
      </c>
      <c r="F269" s="18">
        <v>1499</v>
      </c>
      <c r="G269" s="18">
        <f t="shared" si="12"/>
        <v>527648</v>
      </c>
      <c r="H269" s="18">
        <v>710479</v>
      </c>
      <c r="I269" s="19">
        <f t="shared" si="13"/>
        <v>0.74266515970211644</v>
      </c>
      <c r="J269" s="18">
        <v>165423</v>
      </c>
      <c r="K269" s="18">
        <f t="shared" si="14"/>
        <v>362225</v>
      </c>
    </row>
    <row r="270" spans="1:11" x14ac:dyDescent="0.2">
      <c r="A270" s="16" t="s">
        <v>35</v>
      </c>
      <c r="B270" s="16" t="s">
        <v>19</v>
      </c>
      <c r="C270" s="16" t="s">
        <v>21</v>
      </c>
      <c r="D270" s="16" t="s">
        <v>14</v>
      </c>
      <c r="E270" s="17">
        <v>101</v>
      </c>
      <c r="F270" s="18">
        <v>4999</v>
      </c>
      <c r="G270" s="18">
        <f t="shared" si="12"/>
        <v>504899</v>
      </c>
      <c r="H270" s="18">
        <v>1458247</v>
      </c>
      <c r="I270" s="19">
        <f t="shared" si="13"/>
        <v>0.3462369543705559</v>
      </c>
      <c r="J270" s="18">
        <v>54023</v>
      </c>
      <c r="K270" s="18">
        <f t="shared" si="14"/>
        <v>450876</v>
      </c>
    </row>
    <row r="271" spans="1:11" x14ac:dyDescent="0.2">
      <c r="A271" s="16" t="s">
        <v>35</v>
      </c>
      <c r="B271" s="16" t="s">
        <v>19</v>
      </c>
      <c r="C271" s="16" t="s">
        <v>21</v>
      </c>
      <c r="D271" s="16" t="s">
        <v>15</v>
      </c>
      <c r="E271" s="17">
        <v>123</v>
      </c>
      <c r="F271" s="18">
        <v>2499</v>
      </c>
      <c r="G271" s="18">
        <f t="shared" si="12"/>
        <v>307377</v>
      </c>
      <c r="H271" s="18">
        <v>1873175</v>
      </c>
      <c r="I271" s="19">
        <f t="shared" si="13"/>
        <v>0.16409411827512113</v>
      </c>
      <c r="J271" s="18">
        <v>90464</v>
      </c>
      <c r="K271" s="18">
        <f t="shared" si="14"/>
        <v>216913</v>
      </c>
    </row>
    <row r="272" spans="1:11" x14ac:dyDescent="0.2">
      <c r="A272" s="16" t="s">
        <v>35</v>
      </c>
      <c r="B272" s="16" t="s">
        <v>19</v>
      </c>
      <c r="C272" s="16" t="s">
        <v>21</v>
      </c>
      <c r="D272" s="16" t="s">
        <v>16</v>
      </c>
      <c r="E272" s="17">
        <v>88</v>
      </c>
      <c r="F272" s="18">
        <v>2499</v>
      </c>
      <c r="G272" s="18">
        <f t="shared" si="12"/>
        <v>219912</v>
      </c>
      <c r="H272" s="18">
        <v>1055793</v>
      </c>
      <c r="I272" s="19">
        <f t="shared" si="13"/>
        <v>0.20829082973651086</v>
      </c>
      <c r="J272" s="18">
        <v>138751</v>
      </c>
      <c r="K272" s="18">
        <f t="shared" si="14"/>
        <v>81161</v>
      </c>
    </row>
    <row r="273" spans="1:11" x14ac:dyDescent="0.2">
      <c r="A273" s="16" t="s">
        <v>35</v>
      </c>
      <c r="B273" s="16" t="s">
        <v>19</v>
      </c>
      <c r="C273" s="16" t="s">
        <v>21</v>
      </c>
      <c r="D273" s="16" t="s">
        <v>17</v>
      </c>
      <c r="E273" s="17">
        <v>369</v>
      </c>
      <c r="F273" s="18">
        <v>2499</v>
      </c>
      <c r="G273" s="18">
        <f t="shared" si="12"/>
        <v>922131</v>
      </c>
      <c r="H273" s="18">
        <v>1862806</v>
      </c>
      <c r="I273" s="19">
        <f t="shared" si="13"/>
        <v>0.49502256273600148</v>
      </c>
      <c r="J273" s="18">
        <v>71054</v>
      </c>
      <c r="K273" s="18">
        <f t="shared" si="14"/>
        <v>851077</v>
      </c>
    </row>
    <row r="274" spans="1:11" x14ac:dyDescent="0.2">
      <c r="A274" s="16" t="s">
        <v>35</v>
      </c>
      <c r="B274" s="16" t="s">
        <v>22</v>
      </c>
      <c r="C274" s="16" t="s">
        <v>23</v>
      </c>
      <c r="D274" s="16" t="s">
        <v>14</v>
      </c>
      <c r="E274" s="17">
        <v>218</v>
      </c>
      <c r="F274" s="18">
        <v>4999</v>
      </c>
      <c r="G274" s="18">
        <f t="shared" si="12"/>
        <v>1089782</v>
      </c>
      <c r="H274" s="18">
        <v>1296937</v>
      </c>
      <c r="I274" s="19">
        <f t="shared" si="13"/>
        <v>0.84027366017007765</v>
      </c>
      <c r="J274" s="18">
        <v>133010</v>
      </c>
      <c r="K274" s="18">
        <f t="shared" si="14"/>
        <v>956772</v>
      </c>
    </row>
    <row r="275" spans="1:11" x14ac:dyDescent="0.2">
      <c r="A275" s="16" t="s">
        <v>35</v>
      </c>
      <c r="B275" s="16" t="s">
        <v>22</v>
      </c>
      <c r="C275" s="16" t="s">
        <v>23</v>
      </c>
      <c r="D275" s="16" t="s">
        <v>15</v>
      </c>
      <c r="E275" s="17">
        <v>370</v>
      </c>
      <c r="F275" s="18">
        <v>2499</v>
      </c>
      <c r="G275" s="18">
        <f t="shared" si="12"/>
        <v>924630</v>
      </c>
      <c r="H275" s="18">
        <v>1634592</v>
      </c>
      <c r="I275" s="19">
        <f t="shared" si="13"/>
        <v>0.56566409232395609</v>
      </c>
      <c r="J275" s="18">
        <v>59410</v>
      </c>
      <c r="K275" s="18">
        <f t="shared" si="14"/>
        <v>865220</v>
      </c>
    </row>
    <row r="276" spans="1:11" x14ac:dyDescent="0.2">
      <c r="A276" s="16" t="s">
        <v>35</v>
      </c>
      <c r="B276" s="16" t="s">
        <v>22</v>
      </c>
      <c r="C276" s="16" t="s">
        <v>23</v>
      </c>
      <c r="D276" s="16" t="s">
        <v>16</v>
      </c>
      <c r="E276" s="17">
        <v>366</v>
      </c>
      <c r="F276" s="18">
        <v>500</v>
      </c>
      <c r="G276" s="18">
        <f t="shared" si="12"/>
        <v>183000</v>
      </c>
      <c r="H276" s="18">
        <v>992348</v>
      </c>
      <c r="I276" s="19">
        <f t="shared" si="13"/>
        <v>0.18441111384312761</v>
      </c>
      <c r="J276" s="18">
        <v>125334</v>
      </c>
      <c r="K276" s="18">
        <f t="shared" si="14"/>
        <v>57666</v>
      </c>
    </row>
    <row r="277" spans="1:11" x14ac:dyDescent="0.2">
      <c r="A277" s="16" t="s">
        <v>35</v>
      </c>
      <c r="B277" s="16" t="s">
        <v>22</v>
      </c>
      <c r="C277" s="16" t="s">
        <v>23</v>
      </c>
      <c r="D277" s="16" t="s">
        <v>17</v>
      </c>
      <c r="E277" s="17">
        <v>166</v>
      </c>
      <c r="F277" s="18">
        <v>500</v>
      </c>
      <c r="G277" s="18">
        <f t="shared" si="12"/>
        <v>83000</v>
      </c>
      <c r="H277" s="18">
        <v>1410104</v>
      </c>
      <c r="I277" s="19">
        <f t="shared" si="13"/>
        <v>5.8860906713263703E-2</v>
      </c>
      <c r="J277" s="18">
        <v>75806</v>
      </c>
      <c r="K277" s="18">
        <f t="shared" si="14"/>
        <v>7194</v>
      </c>
    </row>
    <row r="278" spans="1:11" x14ac:dyDescent="0.2">
      <c r="A278" s="16" t="s">
        <v>35</v>
      </c>
      <c r="B278" s="16" t="s">
        <v>22</v>
      </c>
      <c r="C278" s="16" t="s">
        <v>24</v>
      </c>
      <c r="D278" s="16" t="s">
        <v>14</v>
      </c>
      <c r="E278" s="17">
        <v>374</v>
      </c>
      <c r="F278" s="18">
        <v>500</v>
      </c>
      <c r="G278" s="18">
        <f t="shared" si="12"/>
        <v>187000</v>
      </c>
      <c r="H278" s="18">
        <v>1430461</v>
      </c>
      <c r="I278" s="19">
        <f t="shared" si="13"/>
        <v>0.13072708728165255</v>
      </c>
      <c r="J278" s="18">
        <v>93611</v>
      </c>
      <c r="K278" s="18">
        <f t="shared" si="14"/>
        <v>93389</v>
      </c>
    </row>
    <row r="279" spans="1:11" x14ac:dyDescent="0.2">
      <c r="A279" s="16" t="s">
        <v>35</v>
      </c>
      <c r="B279" s="16" t="s">
        <v>22</v>
      </c>
      <c r="C279" s="16" t="s">
        <v>24</v>
      </c>
      <c r="D279" s="16" t="s">
        <v>15</v>
      </c>
      <c r="E279" s="17">
        <v>203</v>
      </c>
      <c r="F279" s="18">
        <v>500</v>
      </c>
      <c r="G279" s="18">
        <f t="shared" si="12"/>
        <v>101500</v>
      </c>
      <c r="H279" s="18">
        <v>596450</v>
      </c>
      <c r="I279" s="19">
        <f t="shared" si="13"/>
        <v>0.17017352669963953</v>
      </c>
      <c r="J279" s="18">
        <v>135032</v>
      </c>
      <c r="K279" s="18">
        <f t="shared" si="14"/>
        <v>-33532</v>
      </c>
    </row>
    <row r="280" spans="1:11" x14ac:dyDescent="0.2">
      <c r="A280" s="16" t="s">
        <v>35</v>
      </c>
      <c r="B280" s="16" t="s">
        <v>22</v>
      </c>
      <c r="C280" s="16" t="s">
        <v>24</v>
      </c>
      <c r="D280" s="16" t="s">
        <v>16</v>
      </c>
      <c r="E280" s="17">
        <v>78</v>
      </c>
      <c r="F280" s="18">
        <v>1499</v>
      </c>
      <c r="G280" s="18">
        <f t="shared" si="12"/>
        <v>116922</v>
      </c>
      <c r="H280" s="18">
        <v>1251752</v>
      </c>
      <c r="I280" s="19">
        <f t="shared" si="13"/>
        <v>9.3406681195636193E-2</v>
      </c>
      <c r="J280" s="18">
        <v>148262</v>
      </c>
      <c r="K280" s="18">
        <f t="shared" si="14"/>
        <v>-31340</v>
      </c>
    </row>
    <row r="281" spans="1:11" x14ac:dyDescent="0.2">
      <c r="A281" s="16" t="s">
        <v>35</v>
      </c>
      <c r="B281" s="16" t="s">
        <v>22</v>
      </c>
      <c r="C281" s="16" t="s">
        <v>24</v>
      </c>
      <c r="D281" s="16" t="s">
        <v>17</v>
      </c>
      <c r="E281" s="17">
        <v>270</v>
      </c>
      <c r="F281" s="18">
        <v>999</v>
      </c>
      <c r="G281" s="18">
        <f t="shared" si="12"/>
        <v>269730</v>
      </c>
      <c r="H281" s="18">
        <v>1012119</v>
      </c>
      <c r="I281" s="19">
        <f t="shared" si="13"/>
        <v>0.26650028306948098</v>
      </c>
      <c r="J281" s="18">
        <v>189242</v>
      </c>
      <c r="K281" s="18">
        <f t="shared" si="14"/>
        <v>80488</v>
      </c>
    </row>
    <row r="282" spans="1:11" x14ac:dyDescent="0.2">
      <c r="A282" s="16" t="s">
        <v>35</v>
      </c>
      <c r="B282" s="16" t="s">
        <v>25</v>
      </c>
      <c r="C282" s="16" t="s">
        <v>26</v>
      </c>
      <c r="D282" s="16" t="s">
        <v>14</v>
      </c>
      <c r="E282" s="17">
        <v>260</v>
      </c>
      <c r="F282" s="18">
        <v>4999</v>
      </c>
      <c r="G282" s="18">
        <f t="shared" si="12"/>
        <v>1299740</v>
      </c>
      <c r="H282" s="18">
        <v>1929839</v>
      </c>
      <c r="I282" s="19">
        <f t="shared" si="13"/>
        <v>0.6734965973845487</v>
      </c>
      <c r="J282" s="18">
        <v>97200</v>
      </c>
      <c r="K282" s="18">
        <f t="shared" si="14"/>
        <v>1202540</v>
      </c>
    </row>
    <row r="283" spans="1:11" x14ac:dyDescent="0.2">
      <c r="A283" s="16" t="s">
        <v>35</v>
      </c>
      <c r="B283" s="16" t="s">
        <v>25</v>
      </c>
      <c r="C283" s="16" t="s">
        <v>26</v>
      </c>
      <c r="D283" s="16" t="s">
        <v>15</v>
      </c>
      <c r="E283" s="17">
        <v>137</v>
      </c>
      <c r="F283" s="18">
        <v>999</v>
      </c>
      <c r="G283" s="18">
        <f t="shared" si="12"/>
        <v>136863</v>
      </c>
      <c r="H283" s="18">
        <v>665608</v>
      </c>
      <c r="I283" s="19">
        <f t="shared" si="13"/>
        <v>0.20562102618958908</v>
      </c>
      <c r="J283" s="18">
        <v>150281</v>
      </c>
      <c r="K283" s="18">
        <f t="shared" si="14"/>
        <v>-13418</v>
      </c>
    </row>
    <row r="284" spans="1:11" x14ac:dyDescent="0.2">
      <c r="A284" s="16" t="s">
        <v>35</v>
      </c>
      <c r="B284" s="16" t="s">
        <v>25</v>
      </c>
      <c r="C284" s="16" t="s">
        <v>26</v>
      </c>
      <c r="D284" s="16" t="s">
        <v>16</v>
      </c>
      <c r="E284" s="17">
        <v>367</v>
      </c>
      <c r="F284" s="18">
        <v>999</v>
      </c>
      <c r="G284" s="18">
        <f t="shared" si="12"/>
        <v>366633</v>
      </c>
      <c r="H284" s="18">
        <v>1543683</v>
      </c>
      <c r="I284" s="19">
        <f t="shared" si="13"/>
        <v>0.23750536865405655</v>
      </c>
      <c r="J284" s="18">
        <v>87517</v>
      </c>
      <c r="K284" s="18">
        <f t="shared" si="14"/>
        <v>279116</v>
      </c>
    </row>
    <row r="285" spans="1:11" x14ac:dyDescent="0.2">
      <c r="A285" s="16" t="s">
        <v>35</v>
      </c>
      <c r="B285" s="16" t="s">
        <v>25</v>
      </c>
      <c r="C285" s="16" t="s">
        <v>26</v>
      </c>
      <c r="D285" s="16" t="s">
        <v>17</v>
      </c>
      <c r="E285" s="17">
        <v>168</v>
      </c>
      <c r="F285" s="18">
        <v>2499</v>
      </c>
      <c r="G285" s="18">
        <f t="shared" si="12"/>
        <v>419832</v>
      </c>
      <c r="H285" s="18">
        <v>1837782</v>
      </c>
      <c r="I285" s="19">
        <f t="shared" si="13"/>
        <v>0.22844494069481583</v>
      </c>
      <c r="J285" s="18">
        <v>116578</v>
      </c>
      <c r="K285" s="18">
        <f t="shared" si="14"/>
        <v>303254</v>
      </c>
    </row>
    <row r="286" spans="1:11" x14ac:dyDescent="0.2">
      <c r="A286" s="16" t="s">
        <v>35</v>
      </c>
      <c r="B286" s="16" t="s">
        <v>25</v>
      </c>
      <c r="C286" s="16" t="s">
        <v>27</v>
      </c>
      <c r="D286" s="16" t="s">
        <v>14</v>
      </c>
      <c r="E286" s="17">
        <v>285</v>
      </c>
      <c r="F286" s="18">
        <v>1499</v>
      </c>
      <c r="G286" s="18">
        <f t="shared" si="12"/>
        <v>427215</v>
      </c>
      <c r="H286" s="18">
        <v>1898466</v>
      </c>
      <c r="I286" s="19">
        <f t="shared" si="13"/>
        <v>0.22503168347497401</v>
      </c>
      <c r="J286" s="18">
        <v>52463</v>
      </c>
      <c r="K286" s="18">
        <f t="shared" si="14"/>
        <v>374752</v>
      </c>
    </row>
    <row r="287" spans="1:11" x14ac:dyDescent="0.2">
      <c r="A287" s="16" t="s">
        <v>35</v>
      </c>
      <c r="B287" s="16" t="s">
        <v>25</v>
      </c>
      <c r="C287" s="16" t="s">
        <v>27</v>
      </c>
      <c r="D287" s="16" t="s">
        <v>15</v>
      </c>
      <c r="E287" s="17">
        <v>288</v>
      </c>
      <c r="F287" s="18">
        <v>1499</v>
      </c>
      <c r="G287" s="18">
        <f t="shared" si="12"/>
        <v>431712</v>
      </c>
      <c r="H287" s="18">
        <v>1921053</v>
      </c>
      <c r="I287" s="19">
        <f t="shared" si="13"/>
        <v>0.22472675142226686</v>
      </c>
      <c r="J287" s="18">
        <v>193287</v>
      </c>
      <c r="K287" s="18">
        <f t="shared" si="14"/>
        <v>238425</v>
      </c>
    </row>
    <row r="288" spans="1:11" x14ac:dyDescent="0.2">
      <c r="A288" s="16" t="s">
        <v>35</v>
      </c>
      <c r="B288" s="16" t="s">
        <v>25</v>
      </c>
      <c r="C288" s="16" t="s">
        <v>27</v>
      </c>
      <c r="D288" s="16" t="s">
        <v>16</v>
      </c>
      <c r="E288" s="17">
        <v>130</v>
      </c>
      <c r="F288" s="18">
        <v>500</v>
      </c>
      <c r="G288" s="18">
        <f t="shared" si="12"/>
        <v>65000</v>
      </c>
      <c r="H288" s="18">
        <v>1426374</v>
      </c>
      <c r="I288" s="19">
        <f t="shared" si="13"/>
        <v>4.5570095921546525E-2</v>
      </c>
      <c r="J288" s="18">
        <v>140587</v>
      </c>
      <c r="K288" s="18">
        <f t="shared" si="14"/>
        <v>-75587</v>
      </c>
    </row>
    <row r="289" spans="1:11" x14ac:dyDescent="0.2">
      <c r="A289" s="16" t="s">
        <v>35</v>
      </c>
      <c r="B289" s="16" t="s">
        <v>25</v>
      </c>
      <c r="C289" s="16" t="s">
        <v>27</v>
      </c>
      <c r="D289" s="16" t="s">
        <v>17</v>
      </c>
      <c r="E289" s="17">
        <v>350</v>
      </c>
      <c r="F289" s="18">
        <v>1499</v>
      </c>
      <c r="G289" s="18">
        <f t="shared" si="12"/>
        <v>524650</v>
      </c>
      <c r="H289" s="18">
        <v>1839951</v>
      </c>
      <c r="I289" s="19">
        <f t="shared" si="13"/>
        <v>0.28514346305961408</v>
      </c>
      <c r="J289" s="18">
        <v>161230</v>
      </c>
      <c r="K289" s="18">
        <f t="shared" si="14"/>
        <v>363420</v>
      </c>
    </row>
    <row r="290" spans="1:11" x14ac:dyDescent="0.2">
      <c r="A290" s="16" t="s">
        <v>36</v>
      </c>
      <c r="B290" s="16" t="s">
        <v>12</v>
      </c>
      <c r="C290" s="16" t="s">
        <v>13</v>
      </c>
      <c r="D290" s="16" t="s">
        <v>14</v>
      </c>
      <c r="E290" s="17">
        <v>178</v>
      </c>
      <c r="F290" s="18">
        <v>2499</v>
      </c>
      <c r="G290" s="18">
        <f t="shared" si="12"/>
        <v>444822</v>
      </c>
      <c r="H290" s="18">
        <v>1133595</v>
      </c>
      <c r="I290" s="19">
        <f t="shared" si="13"/>
        <v>0.39239940190279599</v>
      </c>
      <c r="J290" s="18">
        <v>102223</v>
      </c>
      <c r="K290" s="18">
        <f t="shared" si="14"/>
        <v>342599</v>
      </c>
    </row>
    <row r="291" spans="1:11" x14ac:dyDescent="0.2">
      <c r="A291" s="16" t="s">
        <v>36</v>
      </c>
      <c r="B291" s="16" t="s">
        <v>12</v>
      </c>
      <c r="C291" s="16" t="s">
        <v>13</v>
      </c>
      <c r="D291" s="16" t="s">
        <v>15</v>
      </c>
      <c r="E291" s="17">
        <v>246</v>
      </c>
      <c r="F291" s="18">
        <v>2499</v>
      </c>
      <c r="G291" s="18">
        <f t="shared" si="12"/>
        <v>614754</v>
      </c>
      <c r="H291" s="18">
        <v>723668</v>
      </c>
      <c r="I291" s="19">
        <f t="shared" si="13"/>
        <v>0.84949728328460017</v>
      </c>
      <c r="J291" s="18">
        <v>112182</v>
      </c>
      <c r="K291" s="18">
        <f t="shared" si="14"/>
        <v>502572</v>
      </c>
    </row>
    <row r="292" spans="1:11" x14ac:dyDescent="0.2">
      <c r="A292" s="16" t="s">
        <v>36</v>
      </c>
      <c r="B292" s="16" t="s">
        <v>12</v>
      </c>
      <c r="C292" s="16" t="s">
        <v>13</v>
      </c>
      <c r="D292" s="16" t="s">
        <v>16</v>
      </c>
      <c r="E292" s="17">
        <v>245</v>
      </c>
      <c r="F292" s="18">
        <v>4999</v>
      </c>
      <c r="G292" s="18">
        <f t="shared" si="12"/>
        <v>1224755</v>
      </c>
      <c r="H292" s="18">
        <v>1252791</v>
      </c>
      <c r="I292" s="19">
        <f t="shared" si="13"/>
        <v>0.97762116745730132</v>
      </c>
      <c r="J292" s="18">
        <v>127561</v>
      </c>
      <c r="K292" s="18">
        <f t="shared" si="14"/>
        <v>1097194</v>
      </c>
    </row>
    <row r="293" spans="1:11" x14ac:dyDescent="0.2">
      <c r="A293" s="16" t="s">
        <v>36</v>
      </c>
      <c r="B293" s="16" t="s">
        <v>12</v>
      </c>
      <c r="C293" s="16" t="s">
        <v>13</v>
      </c>
      <c r="D293" s="16" t="s">
        <v>17</v>
      </c>
      <c r="E293" s="17">
        <v>201</v>
      </c>
      <c r="F293" s="18">
        <v>500</v>
      </c>
      <c r="G293" s="18">
        <f t="shared" si="12"/>
        <v>100500</v>
      </c>
      <c r="H293" s="18">
        <v>1880407</v>
      </c>
      <c r="I293" s="19">
        <f t="shared" si="13"/>
        <v>5.3445876344855127E-2</v>
      </c>
      <c r="J293" s="18">
        <v>153758</v>
      </c>
      <c r="K293" s="18">
        <f t="shared" si="14"/>
        <v>-53258</v>
      </c>
    </row>
    <row r="294" spans="1:11" x14ac:dyDescent="0.2">
      <c r="A294" s="16" t="s">
        <v>36</v>
      </c>
      <c r="B294" s="16" t="s">
        <v>12</v>
      </c>
      <c r="C294" s="16" t="s">
        <v>18</v>
      </c>
      <c r="D294" s="16" t="s">
        <v>14</v>
      </c>
      <c r="E294" s="17">
        <v>190</v>
      </c>
      <c r="F294" s="18">
        <v>500</v>
      </c>
      <c r="G294" s="18">
        <f t="shared" si="12"/>
        <v>95000</v>
      </c>
      <c r="H294" s="18">
        <v>1686839</v>
      </c>
      <c r="I294" s="19">
        <f t="shared" si="13"/>
        <v>5.6318356405086673E-2</v>
      </c>
      <c r="J294" s="18">
        <v>62856</v>
      </c>
      <c r="K294" s="18">
        <f t="shared" si="14"/>
        <v>32144</v>
      </c>
    </row>
    <row r="295" spans="1:11" x14ac:dyDescent="0.2">
      <c r="A295" s="16" t="s">
        <v>36</v>
      </c>
      <c r="B295" s="16" t="s">
        <v>12</v>
      </c>
      <c r="C295" s="16" t="s">
        <v>18</v>
      </c>
      <c r="D295" s="16" t="s">
        <v>15</v>
      </c>
      <c r="E295" s="17">
        <v>360</v>
      </c>
      <c r="F295" s="18">
        <v>2499</v>
      </c>
      <c r="G295" s="18">
        <f t="shared" si="12"/>
        <v>899640</v>
      </c>
      <c r="H295" s="18">
        <v>1100192</v>
      </c>
      <c r="I295" s="19">
        <f t="shared" si="13"/>
        <v>0.81771181757365985</v>
      </c>
      <c r="J295" s="18">
        <v>110324</v>
      </c>
      <c r="K295" s="18">
        <f t="shared" si="14"/>
        <v>789316</v>
      </c>
    </row>
    <row r="296" spans="1:11" x14ac:dyDescent="0.2">
      <c r="A296" s="16" t="s">
        <v>36</v>
      </c>
      <c r="B296" s="16" t="s">
        <v>12</v>
      </c>
      <c r="C296" s="16" t="s">
        <v>18</v>
      </c>
      <c r="D296" s="16" t="s">
        <v>16</v>
      </c>
      <c r="E296" s="17">
        <v>360</v>
      </c>
      <c r="F296" s="18">
        <v>1499</v>
      </c>
      <c r="G296" s="18">
        <f t="shared" si="12"/>
        <v>539640</v>
      </c>
      <c r="H296" s="18">
        <v>959285</v>
      </c>
      <c r="I296" s="19">
        <f t="shared" si="13"/>
        <v>0.56254397806699785</v>
      </c>
      <c r="J296" s="18">
        <v>99841</v>
      </c>
      <c r="K296" s="18">
        <f t="shared" si="14"/>
        <v>439799</v>
      </c>
    </row>
    <row r="297" spans="1:11" x14ac:dyDescent="0.2">
      <c r="A297" s="16" t="s">
        <v>36</v>
      </c>
      <c r="B297" s="16" t="s">
        <v>12</v>
      </c>
      <c r="C297" s="16" t="s">
        <v>18</v>
      </c>
      <c r="D297" s="16" t="s">
        <v>17</v>
      </c>
      <c r="E297" s="17">
        <v>367</v>
      </c>
      <c r="F297" s="18">
        <v>1499</v>
      </c>
      <c r="G297" s="18">
        <f t="shared" si="12"/>
        <v>550133</v>
      </c>
      <c r="H297" s="18">
        <v>1921375</v>
      </c>
      <c r="I297" s="19">
        <f t="shared" si="13"/>
        <v>0.28632255546158353</v>
      </c>
      <c r="J297" s="18">
        <v>85855</v>
      </c>
      <c r="K297" s="18">
        <f t="shared" si="14"/>
        <v>464278</v>
      </c>
    </row>
    <row r="298" spans="1:11" x14ac:dyDescent="0.2">
      <c r="A298" s="16" t="s">
        <v>36</v>
      </c>
      <c r="B298" s="16" t="s">
        <v>19</v>
      </c>
      <c r="C298" s="16" t="s">
        <v>20</v>
      </c>
      <c r="D298" s="16" t="s">
        <v>14</v>
      </c>
      <c r="E298" s="17">
        <v>371</v>
      </c>
      <c r="F298" s="18">
        <v>500</v>
      </c>
      <c r="G298" s="18">
        <f t="shared" si="12"/>
        <v>185500</v>
      </c>
      <c r="H298" s="18">
        <v>1815875</v>
      </c>
      <c r="I298" s="19">
        <f t="shared" si="13"/>
        <v>0.10215460865973704</v>
      </c>
      <c r="J298" s="18">
        <v>60334</v>
      </c>
      <c r="K298" s="18">
        <f t="shared" si="14"/>
        <v>125166</v>
      </c>
    </row>
    <row r="299" spans="1:11" x14ac:dyDescent="0.2">
      <c r="A299" s="16" t="s">
        <v>36</v>
      </c>
      <c r="B299" s="16" t="s">
        <v>19</v>
      </c>
      <c r="C299" s="16" t="s">
        <v>20</v>
      </c>
      <c r="D299" s="16" t="s">
        <v>15</v>
      </c>
      <c r="E299" s="17">
        <v>208</v>
      </c>
      <c r="F299" s="18">
        <v>2499</v>
      </c>
      <c r="G299" s="18">
        <f t="shared" si="12"/>
        <v>519792</v>
      </c>
      <c r="H299" s="18">
        <v>569970</v>
      </c>
      <c r="I299" s="19">
        <f t="shared" si="13"/>
        <v>0.91196378756776675</v>
      </c>
      <c r="J299" s="18">
        <v>145646</v>
      </c>
      <c r="K299" s="18">
        <f t="shared" si="14"/>
        <v>374146</v>
      </c>
    </row>
    <row r="300" spans="1:11" x14ac:dyDescent="0.2">
      <c r="A300" s="16" t="s">
        <v>36</v>
      </c>
      <c r="B300" s="16" t="s">
        <v>19</v>
      </c>
      <c r="C300" s="16" t="s">
        <v>20</v>
      </c>
      <c r="D300" s="16" t="s">
        <v>16</v>
      </c>
      <c r="E300" s="17">
        <v>117</v>
      </c>
      <c r="F300" s="18">
        <v>500</v>
      </c>
      <c r="G300" s="18">
        <f t="shared" si="12"/>
        <v>58500</v>
      </c>
      <c r="H300" s="18">
        <v>1118891</v>
      </c>
      <c r="I300" s="19">
        <f t="shared" si="13"/>
        <v>5.2283913267690954E-2</v>
      </c>
      <c r="J300" s="18">
        <v>135647</v>
      </c>
      <c r="K300" s="18">
        <f t="shared" si="14"/>
        <v>-77147</v>
      </c>
    </row>
    <row r="301" spans="1:11" x14ac:dyDescent="0.2">
      <c r="A301" s="16" t="s">
        <v>36</v>
      </c>
      <c r="B301" s="16" t="s">
        <v>19</v>
      </c>
      <c r="C301" s="16" t="s">
        <v>20</v>
      </c>
      <c r="D301" s="16" t="s">
        <v>17</v>
      </c>
      <c r="E301" s="17">
        <v>262</v>
      </c>
      <c r="F301" s="18">
        <v>999</v>
      </c>
      <c r="G301" s="18">
        <f t="shared" si="12"/>
        <v>261738</v>
      </c>
      <c r="H301" s="18">
        <v>921097</v>
      </c>
      <c r="I301" s="19">
        <f t="shared" si="13"/>
        <v>0.284158997369441</v>
      </c>
      <c r="J301" s="18">
        <v>84644</v>
      </c>
      <c r="K301" s="18">
        <f t="shared" si="14"/>
        <v>177094</v>
      </c>
    </row>
    <row r="302" spans="1:11" x14ac:dyDescent="0.2">
      <c r="A302" s="16" t="s">
        <v>36</v>
      </c>
      <c r="B302" s="16" t="s">
        <v>19</v>
      </c>
      <c r="C302" s="16" t="s">
        <v>21</v>
      </c>
      <c r="D302" s="16" t="s">
        <v>14</v>
      </c>
      <c r="E302" s="17">
        <v>326</v>
      </c>
      <c r="F302" s="18">
        <v>1499</v>
      </c>
      <c r="G302" s="18">
        <f t="shared" si="12"/>
        <v>488674</v>
      </c>
      <c r="H302" s="18">
        <v>1613278</v>
      </c>
      <c r="I302" s="19">
        <f t="shared" si="13"/>
        <v>0.30290749641413323</v>
      </c>
      <c r="J302" s="18">
        <v>181542</v>
      </c>
      <c r="K302" s="18">
        <f t="shared" si="14"/>
        <v>307132</v>
      </c>
    </row>
    <row r="303" spans="1:11" x14ac:dyDescent="0.2">
      <c r="A303" s="16" t="s">
        <v>36</v>
      </c>
      <c r="B303" s="16" t="s">
        <v>19</v>
      </c>
      <c r="C303" s="16" t="s">
        <v>21</v>
      </c>
      <c r="D303" s="16" t="s">
        <v>15</v>
      </c>
      <c r="E303" s="17">
        <v>189</v>
      </c>
      <c r="F303" s="18">
        <v>999</v>
      </c>
      <c r="G303" s="18">
        <f t="shared" si="12"/>
        <v>188811</v>
      </c>
      <c r="H303" s="18">
        <v>1038905</v>
      </c>
      <c r="I303" s="19">
        <f t="shared" si="13"/>
        <v>0.18174039012229223</v>
      </c>
      <c r="J303" s="18">
        <v>176313</v>
      </c>
      <c r="K303" s="18">
        <f t="shared" si="14"/>
        <v>12498</v>
      </c>
    </row>
    <row r="304" spans="1:11" x14ac:dyDescent="0.2">
      <c r="A304" s="16" t="s">
        <v>36</v>
      </c>
      <c r="B304" s="16" t="s">
        <v>19</v>
      </c>
      <c r="C304" s="16" t="s">
        <v>21</v>
      </c>
      <c r="D304" s="16" t="s">
        <v>16</v>
      </c>
      <c r="E304" s="17">
        <v>201</v>
      </c>
      <c r="F304" s="18">
        <v>1499</v>
      </c>
      <c r="G304" s="18">
        <f t="shared" si="12"/>
        <v>301299</v>
      </c>
      <c r="H304" s="18">
        <v>741528</v>
      </c>
      <c r="I304" s="19">
        <f t="shared" si="13"/>
        <v>0.4063218111790789</v>
      </c>
      <c r="J304" s="18">
        <v>172770</v>
      </c>
      <c r="K304" s="18">
        <f t="shared" si="14"/>
        <v>128529</v>
      </c>
    </row>
    <row r="305" spans="1:11" x14ac:dyDescent="0.2">
      <c r="A305" s="16" t="s">
        <v>36</v>
      </c>
      <c r="B305" s="16" t="s">
        <v>19</v>
      </c>
      <c r="C305" s="16" t="s">
        <v>21</v>
      </c>
      <c r="D305" s="16" t="s">
        <v>17</v>
      </c>
      <c r="E305" s="17">
        <v>88</v>
      </c>
      <c r="F305" s="18">
        <v>999</v>
      </c>
      <c r="G305" s="18">
        <f t="shared" si="12"/>
        <v>87912</v>
      </c>
      <c r="H305" s="18">
        <v>973148</v>
      </c>
      <c r="I305" s="19">
        <f t="shared" si="13"/>
        <v>9.0337749242664009E-2</v>
      </c>
      <c r="J305" s="18">
        <v>154179</v>
      </c>
      <c r="K305" s="18">
        <f t="shared" si="14"/>
        <v>-66267</v>
      </c>
    </row>
    <row r="306" spans="1:11" x14ac:dyDescent="0.2">
      <c r="A306" s="16" t="s">
        <v>36</v>
      </c>
      <c r="B306" s="16" t="s">
        <v>22</v>
      </c>
      <c r="C306" s="16" t="s">
        <v>23</v>
      </c>
      <c r="D306" s="16" t="s">
        <v>14</v>
      </c>
      <c r="E306" s="17">
        <v>335</v>
      </c>
      <c r="F306" s="18">
        <v>1499</v>
      </c>
      <c r="G306" s="18">
        <f t="shared" si="12"/>
        <v>502165</v>
      </c>
      <c r="H306" s="18">
        <v>689378</v>
      </c>
      <c r="I306" s="19">
        <f t="shared" si="13"/>
        <v>0.72843200682354237</v>
      </c>
      <c r="J306" s="18">
        <v>153435</v>
      </c>
      <c r="K306" s="18">
        <f t="shared" si="14"/>
        <v>348730</v>
      </c>
    </row>
    <row r="307" spans="1:11" x14ac:dyDescent="0.2">
      <c r="A307" s="16" t="s">
        <v>36</v>
      </c>
      <c r="B307" s="16" t="s">
        <v>22</v>
      </c>
      <c r="C307" s="16" t="s">
        <v>23</v>
      </c>
      <c r="D307" s="16" t="s">
        <v>15</v>
      </c>
      <c r="E307" s="17">
        <v>57</v>
      </c>
      <c r="F307" s="18">
        <v>1499</v>
      </c>
      <c r="G307" s="18">
        <f t="shared" si="12"/>
        <v>85443</v>
      </c>
      <c r="H307" s="18">
        <v>1625273</v>
      </c>
      <c r="I307" s="19">
        <f t="shared" si="13"/>
        <v>5.2571475684392716E-2</v>
      </c>
      <c r="J307" s="18">
        <v>82398</v>
      </c>
      <c r="K307" s="18">
        <f t="shared" si="14"/>
        <v>3045</v>
      </c>
    </row>
    <row r="308" spans="1:11" x14ac:dyDescent="0.2">
      <c r="A308" s="16" t="s">
        <v>36</v>
      </c>
      <c r="B308" s="16" t="s">
        <v>22</v>
      </c>
      <c r="C308" s="16" t="s">
        <v>23</v>
      </c>
      <c r="D308" s="16" t="s">
        <v>16</v>
      </c>
      <c r="E308" s="17">
        <v>282</v>
      </c>
      <c r="F308" s="18">
        <v>1499</v>
      </c>
      <c r="G308" s="18">
        <f t="shared" si="12"/>
        <v>422718</v>
      </c>
      <c r="H308" s="18">
        <v>1911023</v>
      </c>
      <c r="I308" s="19">
        <f t="shared" si="13"/>
        <v>0.22119984950468938</v>
      </c>
      <c r="J308" s="18">
        <v>118724</v>
      </c>
      <c r="K308" s="18">
        <f t="shared" si="14"/>
        <v>303994</v>
      </c>
    </row>
    <row r="309" spans="1:11" x14ac:dyDescent="0.2">
      <c r="A309" s="16" t="s">
        <v>36</v>
      </c>
      <c r="B309" s="16" t="s">
        <v>22</v>
      </c>
      <c r="C309" s="16" t="s">
        <v>23</v>
      </c>
      <c r="D309" s="16" t="s">
        <v>17</v>
      </c>
      <c r="E309" s="17">
        <v>349</v>
      </c>
      <c r="F309" s="18">
        <v>2499</v>
      </c>
      <c r="G309" s="18">
        <f t="shared" si="12"/>
        <v>872151</v>
      </c>
      <c r="H309" s="18">
        <v>1839134</v>
      </c>
      <c r="I309" s="19">
        <f t="shared" si="13"/>
        <v>0.47421830056972464</v>
      </c>
      <c r="J309" s="18">
        <v>147379</v>
      </c>
      <c r="K309" s="18">
        <f t="shared" si="14"/>
        <v>724772</v>
      </c>
    </row>
    <row r="310" spans="1:11" x14ac:dyDescent="0.2">
      <c r="A310" s="16" t="s">
        <v>36</v>
      </c>
      <c r="B310" s="16" t="s">
        <v>22</v>
      </c>
      <c r="C310" s="16" t="s">
        <v>24</v>
      </c>
      <c r="D310" s="16" t="s">
        <v>14</v>
      </c>
      <c r="E310" s="17">
        <v>105</v>
      </c>
      <c r="F310" s="18">
        <v>999</v>
      </c>
      <c r="G310" s="18">
        <f t="shared" si="12"/>
        <v>104895</v>
      </c>
      <c r="H310" s="18">
        <v>1488758</v>
      </c>
      <c r="I310" s="19">
        <f t="shared" si="13"/>
        <v>7.0458059671215878E-2</v>
      </c>
      <c r="J310" s="18">
        <v>56560</v>
      </c>
      <c r="K310" s="18">
        <f t="shared" si="14"/>
        <v>48335</v>
      </c>
    </row>
    <row r="311" spans="1:11" x14ac:dyDescent="0.2">
      <c r="A311" s="16" t="s">
        <v>36</v>
      </c>
      <c r="B311" s="16" t="s">
        <v>22</v>
      </c>
      <c r="C311" s="16" t="s">
        <v>24</v>
      </c>
      <c r="D311" s="16" t="s">
        <v>15</v>
      </c>
      <c r="E311" s="17">
        <v>367</v>
      </c>
      <c r="F311" s="18">
        <v>4999</v>
      </c>
      <c r="G311" s="18">
        <f t="shared" si="12"/>
        <v>1834633</v>
      </c>
      <c r="H311" s="18">
        <v>1187879</v>
      </c>
      <c r="I311" s="19">
        <f t="shared" si="13"/>
        <v>1.5444611782849937</v>
      </c>
      <c r="J311" s="18">
        <v>108030</v>
      </c>
      <c r="K311" s="18">
        <f t="shared" si="14"/>
        <v>1726603</v>
      </c>
    </row>
    <row r="312" spans="1:11" x14ac:dyDescent="0.2">
      <c r="A312" s="16" t="s">
        <v>36</v>
      </c>
      <c r="B312" s="16" t="s">
        <v>22</v>
      </c>
      <c r="C312" s="16" t="s">
        <v>24</v>
      </c>
      <c r="D312" s="16" t="s">
        <v>16</v>
      </c>
      <c r="E312" s="17">
        <v>381</v>
      </c>
      <c r="F312" s="18">
        <v>500</v>
      </c>
      <c r="G312" s="18">
        <f t="shared" si="12"/>
        <v>190500</v>
      </c>
      <c r="H312" s="18">
        <v>1832538</v>
      </c>
      <c r="I312" s="19">
        <f t="shared" si="13"/>
        <v>0.10395418812597611</v>
      </c>
      <c r="J312" s="18">
        <v>171704</v>
      </c>
      <c r="K312" s="18">
        <f t="shared" si="14"/>
        <v>18796</v>
      </c>
    </row>
    <row r="313" spans="1:11" x14ac:dyDescent="0.2">
      <c r="A313" s="16" t="s">
        <v>36</v>
      </c>
      <c r="B313" s="16" t="s">
        <v>22</v>
      </c>
      <c r="C313" s="16" t="s">
        <v>24</v>
      </c>
      <c r="D313" s="16" t="s">
        <v>17</v>
      </c>
      <c r="E313" s="17">
        <v>204</v>
      </c>
      <c r="F313" s="18">
        <v>2499</v>
      </c>
      <c r="G313" s="18">
        <f t="shared" si="12"/>
        <v>509796</v>
      </c>
      <c r="H313" s="18">
        <v>744687</v>
      </c>
      <c r="I313" s="19">
        <f t="shared" si="13"/>
        <v>0.68457754734539478</v>
      </c>
      <c r="J313" s="18">
        <v>86641</v>
      </c>
      <c r="K313" s="18">
        <f t="shared" si="14"/>
        <v>423155</v>
      </c>
    </row>
    <row r="314" spans="1:11" x14ac:dyDescent="0.2">
      <c r="A314" s="16" t="s">
        <v>36</v>
      </c>
      <c r="B314" s="16" t="s">
        <v>25</v>
      </c>
      <c r="C314" s="16" t="s">
        <v>26</v>
      </c>
      <c r="D314" s="16" t="s">
        <v>14</v>
      </c>
      <c r="E314" s="17">
        <v>73</v>
      </c>
      <c r="F314" s="18">
        <v>500</v>
      </c>
      <c r="G314" s="18">
        <f t="shared" si="12"/>
        <v>36500</v>
      </c>
      <c r="H314" s="18">
        <v>1138298</v>
      </c>
      <c r="I314" s="19">
        <f t="shared" si="13"/>
        <v>3.2065416964626135E-2</v>
      </c>
      <c r="J314" s="18">
        <v>179138</v>
      </c>
      <c r="K314" s="18">
        <f t="shared" si="14"/>
        <v>-142638</v>
      </c>
    </row>
    <row r="315" spans="1:11" x14ac:dyDescent="0.2">
      <c r="A315" s="16" t="s">
        <v>36</v>
      </c>
      <c r="B315" s="16" t="s">
        <v>25</v>
      </c>
      <c r="C315" s="16" t="s">
        <v>26</v>
      </c>
      <c r="D315" s="16" t="s">
        <v>15</v>
      </c>
      <c r="E315" s="17">
        <v>109</v>
      </c>
      <c r="F315" s="18">
        <v>500</v>
      </c>
      <c r="G315" s="18">
        <f t="shared" si="12"/>
        <v>54500</v>
      </c>
      <c r="H315" s="18">
        <v>992411</v>
      </c>
      <c r="I315" s="19">
        <f t="shared" si="13"/>
        <v>5.4916763316811279E-2</v>
      </c>
      <c r="J315" s="18">
        <v>190914</v>
      </c>
      <c r="K315" s="18">
        <f t="shared" si="14"/>
        <v>-136414</v>
      </c>
    </row>
    <row r="316" spans="1:11" x14ac:dyDescent="0.2">
      <c r="A316" s="16" t="s">
        <v>36</v>
      </c>
      <c r="B316" s="16" t="s">
        <v>25</v>
      </c>
      <c r="C316" s="16" t="s">
        <v>26</v>
      </c>
      <c r="D316" s="16" t="s">
        <v>16</v>
      </c>
      <c r="E316" s="17">
        <v>119</v>
      </c>
      <c r="F316" s="18">
        <v>2499</v>
      </c>
      <c r="G316" s="18">
        <f t="shared" si="12"/>
        <v>297381</v>
      </c>
      <c r="H316" s="18">
        <v>1451359</v>
      </c>
      <c r="I316" s="19">
        <f t="shared" si="13"/>
        <v>0.20489830565697392</v>
      </c>
      <c r="J316" s="18">
        <v>147258</v>
      </c>
      <c r="K316" s="18">
        <f t="shared" si="14"/>
        <v>150123</v>
      </c>
    </row>
    <row r="317" spans="1:11" x14ac:dyDescent="0.2">
      <c r="A317" s="16" t="s">
        <v>36</v>
      </c>
      <c r="B317" s="16" t="s">
        <v>25</v>
      </c>
      <c r="C317" s="16" t="s">
        <v>26</v>
      </c>
      <c r="D317" s="16" t="s">
        <v>17</v>
      </c>
      <c r="E317" s="17">
        <v>393</v>
      </c>
      <c r="F317" s="18">
        <v>4999</v>
      </c>
      <c r="G317" s="18">
        <f t="shared" si="12"/>
        <v>1964607</v>
      </c>
      <c r="H317" s="18">
        <v>1378972</v>
      </c>
      <c r="I317" s="19">
        <f t="shared" si="13"/>
        <v>1.4246895513469453</v>
      </c>
      <c r="J317" s="18">
        <v>90507</v>
      </c>
      <c r="K317" s="18">
        <f t="shared" si="14"/>
        <v>1874100</v>
      </c>
    </row>
    <row r="318" spans="1:11" x14ac:dyDescent="0.2">
      <c r="A318" s="16" t="s">
        <v>36</v>
      </c>
      <c r="B318" s="16" t="s">
        <v>25</v>
      </c>
      <c r="C318" s="16" t="s">
        <v>27</v>
      </c>
      <c r="D318" s="16" t="s">
        <v>14</v>
      </c>
      <c r="E318" s="17">
        <v>262</v>
      </c>
      <c r="F318" s="18">
        <v>500</v>
      </c>
      <c r="G318" s="18">
        <f t="shared" si="12"/>
        <v>131000</v>
      </c>
      <c r="H318" s="18">
        <v>1526235</v>
      </c>
      <c r="I318" s="19">
        <f t="shared" si="13"/>
        <v>8.5832129390297038E-2</v>
      </c>
      <c r="J318" s="18">
        <v>156985</v>
      </c>
      <c r="K318" s="18">
        <f t="shared" si="14"/>
        <v>-25985</v>
      </c>
    </row>
    <row r="319" spans="1:11" x14ac:dyDescent="0.2">
      <c r="A319" s="16" t="s">
        <v>36</v>
      </c>
      <c r="B319" s="16" t="s">
        <v>25</v>
      </c>
      <c r="C319" s="16" t="s">
        <v>27</v>
      </c>
      <c r="D319" s="16" t="s">
        <v>15</v>
      </c>
      <c r="E319" s="17">
        <v>193</v>
      </c>
      <c r="F319" s="18">
        <v>500</v>
      </c>
      <c r="G319" s="18">
        <f t="shared" si="12"/>
        <v>96500</v>
      </c>
      <c r="H319" s="18">
        <v>1947623</v>
      </c>
      <c r="I319" s="19">
        <f t="shared" si="13"/>
        <v>4.9547576712741632E-2</v>
      </c>
      <c r="J319" s="18">
        <v>147132</v>
      </c>
      <c r="K319" s="18">
        <f t="shared" si="14"/>
        <v>-50632</v>
      </c>
    </row>
    <row r="320" spans="1:11" x14ac:dyDescent="0.2">
      <c r="A320" s="16" t="s">
        <v>36</v>
      </c>
      <c r="B320" s="16" t="s">
        <v>25</v>
      </c>
      <c r="C320" s="16" t="s">
        <v>27</v>
      </c>
      <c r="D320" s="16" t="s">
        <v>16</v>
      </c>
      <c r="E320" s="17">
        <v>161</v>
      </c>
      <c r="F320" s="18">
        <v>2499</v>
      </c>
      <c r="G320" s="18">
        <f t="shared" si="12"/>
        <v>402339</v>
      </c>
      <c r="H320" s="18">
        <v>1432594</v>
      </c>
      <c r="I320" s="19">
        <f t="shared" si="13"/>
        <v>0.28084649244656895</v>
      </c>
      <c r="J320" s="18">
        <v>111895</v>
      </c>
      <c r="K320" s="18">
        <f t="shared" si="14"/>
        <v>290444</v>
      </c>
    </row>
    <row r="321" spans="1:11" x14ac:dyDescent="0.2">
      <c r="A321" s="16" t="s">
        <v>36</v>
      </c>
      <c r="B321" s="16" t="s">
        <v>25</v>
      </c>
      <c r="C321" s="16" t="s">
        <v>27</v>
      </c>
      <c r="D321" s="16" t="s">
        <v>17</v>
      </c>
      <c r="E321" s="17">
        <v>235</v>
      </c>
      <c r="F321" s="18">
        <v>500</v>
      </c>
      <c r="G321" s="18">
        <f t="shared" si="12"/>
        <v>117500</v>
      </c>
      <c r="H321" s="18">
        <v>1937975</v>
      </c>
      <c r="I321" s="19">
        <f t="shared" si="13"/>
        <v>6.0630297088455735E-2</v>
      </c>
      <c r="J321" s="18">
        <v>146294</v>
      </c>
      <c r="K321" s="18">
        <f t="shared" si="14"/>
        <v>-28794</v>
      </c>
    </row>
    <row r="322" spans="1:11" x14ac:dyDescent="0.2">
      <c r="A322" s="16" t="s">
        <v>37</v>
      </c>
      <c r="B322" s="16" t="s">
        <v>12</v>
      </c>
      <c r="C322" s="16" t="s">
        <v>13</v>
      </c>
      <c r="D322" s="16" t="s">
        <v>14</v>
      </c>
      <c r="E322" s="17">
        <v>328</v>
      </c>
      <c r="F322" s="18">
        <v>1499</v>
      </c>
      <c r="G322" s="18">
        <f t="shared" ref="G322:G385" si="15">E322*F322</f>
        <v>491672</v>
      </c>
      <c r="H322" s="18">
        <v>626982</v>
      </c>
      <c r="I322" s="19">
        <f t="shared" ref="I322:I385" si="16">IF(H322=0,0,G322/H322)</f>
        <v>0.78418838180362438</v>
      </c>
      <c r="J322" s="18">
        <v>154369</v>
      </c>
      <c r="K322" s="18">
        <f t="shared" ref="K322:K385" si="17">G322-J322</f>
        <v>337303</v>
      </c>
    </row>
    <row r="323" spans="1:11" x14ac:dyDescent="0.2">
      <c r="A323" s="16" t="s">
        <v>37</v>
      </c>
      <c r="B323" s="16" t="s">
        <v>12</v>
      </c>
      <c r="C323" s="16" t="s">
        <v>13</v>
      </c>
      <c r="D323" s="16" t="s">
        <v>15</v>
      </c>
      <c r="E323" s="17">
        <v>191</v>
      </c>
      <c r="F323" s="18">
        <v>999</v>
      </c>
      <c r="G323" s="18">
        <f t="shared" si="15"/>
        <v>190809</v>
      </c>
      <c r="H323" s="18">
        <v>756187</v>
      </c>
      <c r="I323" s="19">
        <f t="shared" si="16"/>
        <v>0.25233044207319089</v>
      </c>
      <c r="J323" s="18">
        <v>169201</v>
      </c>
      <c r="K323" s="18">
        <f t="shared" si="17"/>
        <v>21608</v>
      </c>
    </row>
    <row r="324" spans="1:11" x14ac:dyDescent="0.2">
      <c r="A324" s="16" t="s">
        <v>37</v>
      </c>
      <c r="B324" s="16" t="s">
        <v>12</v>
      </c>
      <c r="C324" s="16" t="s">
        <v>13</v>
      </c>
      <c r="D324" s="16" t="s">
        <v>16</v>
      </c>
      <c r="E324" s="17">
        <v>96</v>
      </c>
      <c r="F324" s="18">
        <v>999</v>
      </c>
      <c r="G324" s="18">
        <f t="shared" si="15"/>
        <v>95904</v>
      </c>
      <c r="H324" s="18">
        <v>1845751</v>
      </c>
      <c r="I324" s="19">
        <f t="shared" si="16"/>
        <v>5.195933796053747E-2</v>
      </c>
      <c r="J324" s="18">
        <v>55598</v>
      </c>
      <c r="K324" s="18">
        <f t="shared" si="17"/>
        <v>40306</v>
      </c>
    </row>
    <row r="325" spans="1:11" x14ac:dyDescent="0.2">
      <c r="A325" s="16" t="s">
        <v>37</v>
      </c>
      <c r="B325" s="16" t="s">
        <v>12</v>
      </c>
      <c r="C325" s="16" t="s">
        <v>13</v>
      </c>
      <c r="D325" s="16" t="s">
        <v>17</v>
      </c>
      <c r="E325" s="17">
        <v>75</v>
      </c>
      <c r="F325" s="18">
        <v>1499</v>
      </c>
      <c r="G325" s="18">
        <f t="shared" si="15"/>
        <v>112425</v>
      </c>
      <c r="H325" s="18">
        <v>1010800</v>
      </c>
      <c r="I325" s="19">
        <f t="shared" si="16"/>
        <v>0.11122378314206569</v>
      </c>
      <c r="J325" s="18">
        <v>83010</v>
      </c>
      <c r="K325" s="18">
        <f t="shared" si="17"/>
        <v>29415</v>
      </c>
    </row>
    <row r="326" spans="1:11" x14ac:dyDescent="0.2">
      <c r="A326" s="16" t="s">
        <v>37</v>
      </c>
      <c r="B326" s="16" t="s">
        <v>12</v>
      </c>
      <c r="C326" s="16" t="s">
        <v>18</v>
      </c>
      <c r="D326" s="16" t="s">
        <v>14</v>
      </c>
      <c r="E326" s="17">
        <v>339</v>
      </c>
      <c r="F326" s="18">
        <v>999</v>
      </c>
      <c r="G326" s="18">
        <f t="shared" si="15"/>
        <v>338661</v>
      </c>
      <c r="H326" s="18">
        <v>643885</v>
      </c>
      <c r="I326" s="19">
        <f t="shared" si="16"/>
        <v>0.52596504034105473</v>
      </c>
      <c r="J326" s="18">
        <v>195282</v>
      </c>
      <c r="K326" s="18">
        <f t="shared" si="17"/>
        <v>143379</v>
      </c>
    </row>
    <row r="327" spans="1:11" x14ac:dyDescent="0.2">
      <c r="A327" s="16" t="s">
        <v>37</v>
      </c>
      <c r="B327" s="16" t="s">
        <v>12</v>
      </c>
      <c r="C327" s="16" t="s">
        <v>18</v>
      </c>
      <c r="D327" s="16" t="s">
        <v>15</v>
      </c>
      <c r="E327" s="17">
        <v>156</v>
      </c>
      <c r="F327" s="18">
        <v>4999</v>
      </c>
      <c r="G327" s="18">
        <f t="shared" si="15"/>
        <v>779844</v>
      </c>
      <c r="H327" s="18">
        <v>952882</v>
      </c>
      <c r="I327" s="19">
        <f t="shared" si="16"/>
        <v>0.81840563679448242</v>
      </c>
      <c r="J327" s="18">
        <v>111079</v>
      </c>
      <c r="K327" s="18">
        <f t="shared" si="17"/>
        <v>668765</v>
      </c>
    </row>
    <row r="328" spans="1:11" x14ac:dyDescent="0.2">
      <c r="A328" s="16" t="s">
        <v>37</v>
      </c>
      <c r="B328" s="16" t="s">
        <v>12</v>
      </c>
      <c r="C328" s="16" t="s">
        <v>18</v>
      </c>
      <c r="D328" s="16" t="s">
        <v>16</v>
      </c>
      <c r="E328" s="17">
        <v>218</v>
      </c>
      <c r="F328" s="18">
        <v>999</v>
      </c>
      <c r="G328" s="18">
        <f t="shared" si="15"/>
        <v>217782</v>
      </c>
      <c r="H328" s="18">
        <v>1749864</v>
      </c>
      <c r="I328" s="19">
        <f t="shared" si="16"/>
        <v>0.12445652919312587</v>
      </c>
      <c r="J328" s="18">
        <v>50743</v>
      </c>
      <c r="K328" s="18">
        <f t="shared" si="17"/>
        <v>167039</v>
      </c>
    </row>
    <row r="329" spans="1:11" x14ac:dyDescent="0.2">
      <c r="A329" s="16" t="s">
        <v>37</v>
      </c>
      <c r="B329" s="16" t="s">
        <v>12</v>
      </c>
      <c r="C329" s="16" t="s">
        <v>18</v>
      </c>
      <c r="D329" s="16" t="s">
        <v>17</v>
      </c>
      <c r="E329" s="17">
        <v>191</v>
      </c>
      <c r="F329" s="18">
        <v>999</v>
      </c>
      <c r="G329" s="18">
        <f t="shared" si="15"/>
        <v>190809</v>
      </c>
      <c r="H329" s="18">
        <v>772613</v>
      </c>
      <c r="I329" s="19">
        <f t="shared" si="16"/>
        <v>0.2469658160036137</v>
      </c>
      <c r="J329" s="18">
        <v>191614</v>
      </c>
      <c r="K329" s="18">
        <f t="shared" si="17"/>
        <v>-805</v>
      </c>
    </row>
    <row r="330" spans="1:11" x14ac:dyDescent="0.2">
      <c r="A330" s="16" t="s">
        <v>37</v>
      </c>
      <c r="B330" s="16" t="s">
        <v>19</v>
      </c>
      <c r="C330" s="16" t="s">
        <v>20</v>
      </c>
      <c r="D330" s="16" t="s">
        <v>14</v>
      </c>
      <c r="E330" s="17">
        <v>178</v>
      </c>
      <c r="F330" s="18">
        <v>999</v>
      </c>
      <c r="G330" s="18">
        <f t="shared" si="15"/>
        <v>177822</v>
      </c>
      <c r="H330" s="18">
        <v>730532</v>
      </c>
      <c r="I330" s="19">
        <f t="shared" si="16"/>
        <v>0.24341438841830337</v>
      </c>
      <c r="J330" s="18">
        <v>56758</v>
      </c>
      <c r="K330" s="18">
        <f t="shared" si="17"/>
        <v>121064</v>
      </c>
    </row>
    <row r="331" spans="1:11" x14ac:dyDescent="0.2">
      <c r="A331" s="16" t="s">
        <v>37</v>
      </c>
      <c r="B331" s="16" t="s">
        <v>19</v>
      </c>
      <c r="C331" s="16" t="s">
        <v>20</v>
      </c>
      <c r="D331" s="16" t="s">
        <v>15</v>
      </c>
      <c r="E331" s="17">
        <v>117</v>
      </c>
      <c r="F331" s="18">
        <v>500</v>
      </c>
      <c r="G331" s="18">
        <f t="shared" si="15"/>
        <v>58500</v>
      </c>
      <c r="H331" s="18">
        <v>1251288</v>
      </c>
      <c r="I331" s="19">
        <f t="shared" si="16"/>
        <v>4.6751826917544162E-2</v>
      </c>
      <c r="J331" s="18">
        <v>112372</v>
      </c>
      <c r="K331" s="18">
        <f t="shared" si="17"/>
        <v>-53872</v>
      </c>
    </row>
    <row r="332" spans="1:11" x14ac:dyDescent="0.2">
      <c r="A332" s="16" t="s">
        <v>37</v>
      </c>
      <c r="B332" s="16" t="s">
        <v>19</v>
      </c>
      <c r="C332" s="16" t="s">
        <v>20</v>
      </c>
      <c r="D332" s="16" t="s">
        <v>16</v>
      </c>
      <c r="E332" s="17">
        <v>351</v>
      </c>
      <c r="F332" s="18">
        <v>1499</v>
      </c>
      <c r="G332" s="18">
        <f t="shared" si="15"/>
        <v>526149</v>
      </c>
      <c r="H332" s="18">
        <v>533095</v>
      </c>
      <c r="I332" s="19">
        <f t="shared" si="16"/>
        <v>0.98697042740974872</v>
      </c>
      <c r="J332" s="18">
        <v>95677</v>
      </c>
      <c r="K332" s="18">
        <f t="shared" si="17"/>
        <v>430472</v>
      </c>
    </row>
    <row r="333" spans="1:11" x14ac:dyDescent="0.2">
      <c r="A333" s="16" t="s">
        <v>37</v>
      </c>
      <c r="B333" s="16" t="s">
        <v>19</v>
      </c>
      <c r="C333" s="16" t="s">
        <v>20</v>
      </c>
      <c r="D333" s="16" t="s">
        <v>17</v>
      </c>
      <c r="E333" s="17">
        <v>185</v>
      </c>
      <c r="F333" s="18">
        <v>500</v>
      </c>
      <c r="G333" s="18">
        <f t="shared" si="15"/>
        <v>92500</v>
      </c>
      <c r="H333" s="18">
        <v>765831</v>
      </c>
      <c r="I333" s="19">
        <f t="shared" si="16"/>
        <v>0.12078382828587508</v>
      </c>
      <c r="J333" s="18">
        <v>160352</v>
      </c>
      <c r="K333" s="18">
        <f t="shared" si="17"/>
        <v>-67852</v>
      </c>
    </row>
    <row r="334" spans="1:11" x14ac:dyDescent="0.2">
      <c r="A334" s="16" t="s">
        <v>37</v>
      </c>
      <c r="B334" s="16" t="s">
        <v>19</v>
      </c>
      <c r="C334" s="16" t="s">
        <v>21</v>
      </c>
      <c r="D334" s="16" t="s">
        <v>14</v>
      </c>
      <c r="E334" s="17">
        <v>319</v>
      </c>
      <c r="F334" s="18">
        <v>500</v>
      </c>
      <c r="G334" s="18">
        <f t="shared" si="15"/>
        <v>159500</v>
      </c>
      <c r="H334" s="18">
        <v>633290</v>
      </c>
      <c r="I334" s="19">
        <f t="shared" si="16"/>
        <v>0.25185933774416142</v>
      </c>
      <c r="J334" s="18">
        <v>174845</v>
      </c>
      <c r="K334" s="18">
        <f t="shared" si="17"/>
        <v>-15345</v>
      </c>
    </row>
    <row r="335" spans="1:11" x14ac:dyDescent="0.2">
      <c r="A335" s="16" t="s">
        <v>37</v>
      </c>
      <c r="B335" s="16" t="s">
        <v>19</v>
      </c>
      <c r="C335" s="16" t="s">
        <v>21</v>
      </c>
      <c r="D335" s="16" t="s">
        <v>15</v>
      </c>
      <c r="E335" s="17">
        <v>279</v>
      </c>
      <c r="F335" s="18">
        <v>1499</v>
      </c>
      <c r="G335" s="18">
        <f t="shared" si="15"/>
        <v>418221</v>
      </c>
      <c r="H335" s="18">
        <v>1576338</v>
      </c>
      <c r="I335" s="19">
        <f t="shared" si="16"/>
        <v>0.2653117542049992</v>
      </c>
      <c r="J335" s="18">
        <v>78587</v>
      </c>
      <c r="K335" s="18">
        <f t="shared" si="17"/>
        <v>339634</v>
      </c>
    </row>
    <row r="336" spans="1:11" x14ac:dyDescent="0.2">
      <c r="A336" s="16" t="s">
        <v>37</v>
      </c>
      <c r="B336" s="16" t="s">
        <v>19</v>
      </c>
      <c r="C336" s="16" t="s">
        <v>21</v>
      </c>
      <c r="D336" s="16" t="s">
        <v>16</v>
      </c>
      <c r="E336" s="17">
        <v>281</v>
      </c>
      <c r="F336" s="18">
        <v>4999</v>
      </c>
      <c r="G336" s="18">
        <f t="shared" si="15"/>
        <v>1404719</v>
      </c>
      <c r="H336" s="18">
        <v>964623</v>
      </c>
      <c r="I336" s="19">
        <f t="shared" si="16"/>
        <v>1.4562362705429996</v>
      </c>
      <c r="J336" s="18">
        <v>61367</v>
      </c>
      <c r="K336" s="18">
        <f t="shared" si="17"/>
        <v>1343352</v>
      </c>
    </row>
    <row r="337" spans="1:11" x14ac:dyDescent="0.2">
      <c r="A337" s="16" t="s">
        <v>37</v>
      </c>
      <c r="B337" s="16" t="s">
        <v>19</v>
      </c>
      <c r="C337" s="16" t="s">
        <v>21</v>
      </c>
      <c r="D337" s="16" t="s">
        <v>17</v>
      </c>
      <c r="E337" s="17">
        <v>387</v>
      </c>
      <c r="F337" s="18">
        <v>4999</v>
      </c>
      <c r="G337" s="18">
        <f t="shared" si="15"/>
        <v>1934613</v>
      </c>
      <c r="H337" s="18">
        <v>1132564</v>
      </c>
      <c r="I337" s="19">
        <f t="shared" si="16"/>
        <v>1.7081710172670155</v>
      </c>
      <c r="J337" s="18">
        <v>170073</v>
      </c>
      <c r="K337" s="18">
        <f t="shared" si="17"/>
        <v>1764540</v>
      </c>
    </row>
    <row r="338" spans="1:11" x14ac:dyDescent="0.2">
      <c r="A338" s="16" t="s">
        <v>37</v>
      </c>
      <c r="B338" s="16" t="s">
        <v>22</v>
      </c>
      <c r="C338" s="16" t="s">
        <v>23</v>
      </c>
      <c r="D338" s="16" t="s">
        <v>14</v>
      </c>
      <c r="E338" s="17">
        <v>379</v>
      </c>
      <c r="F338" s="18">
        <v>500</v>
      </c>
      <c r="G338" s="18">
        <f t="shared" si="15"/>
        <v>189500</v>
      </c>
      <c r="H338" s="18">
        <v>627560</v>
      </c>
      <c r="I338" s="19">
        <f t="shared" si="16"/>
        <v>0.30196315890114095</v>
      </c>
      <c r="J338" s="18">
        <v>175562</v>
      </c>
      <c r="K338" s="18">
        <f t="shared" si="17"/>
        <v>13938</v>
      </c>
    </row>
    <row r="339" spans="1:11" x14ac:dyDescent="0.2">
      <c r="A339" s="16" t="s">
        <v>37</v>
      </c>
      <c r="B339" s="16" t="s">
        <v>22</v>
      </c>
      <c r="C339" s="16" t="s">
        <v>23</v>
      </c>
      <c r="D339" s="16" t="s">
        <v>15</v>
      </c>
      <c r="E339" s="17">
        <v>255</v>
      </c>
      <c r="F339" s="18">
        <v>2499</v>
      </c>
      <c r="G339" s="18">
        <f t="shared" si="15"/>
        <v>637245</v>
      </c>
      <c r="H339" s="18">
        <v>1938850</v>
      </c>
      <c r="I339" s="19">
        <f t="shared" si="16"/>
        <v>0.32867163524769838</v>
      </c>
      <c r="J339" s="18">
        <v>78301</v>
      </c>
      <c r="K339" s="18">
        <f t="shared" si="17"/>
        <v>558944</v>
      </c>
    </row>
    <row r="340" spans="1:11" x14ac:dyDescent="0.2">
      <c r="A340" s="16" t="s">
        <v>37</v>
      </c>
      <c r="B340" s="16" t="s">
        <v>22</v>
      </c>
      <c r="C340" s="16" t="s">
        <v>23</v>
      </c>
      <c r="D340" s="16" t="s">
        <v>16</v>
      </c>
      <c r="E340" s="17">
        <v>301</v>
      </c>
      <c r="F340" s="18">
        <v>2499</v>
      </c>
      <c r="G340" s="18">
        <f t="shared" si="15"/>
        <v>752199</v>
      </c>
      <c r="H340" s="18">
        <v>654121</v>
      </c>
      <c r="I340" s="19">
        <f t="shared" si="16"/>
        <v>1.1499386199189447</v>
      </c>
      <c r="J340" s="18">
        <v>71178</v>
      </c>
      <c r="K340" s="18">
        <f t="shared" si="17"/>
        <v>681021</v>
      </c>
    </row>
    <row r="341" spans="1:11" x14ac:dyDescent="0.2">
      <c r="A341" s="16" t="s">
        <v>37</v>
      </c>
      <c r="B341" s="16" t="s">
        <v>22</v>
      </c>
      <c r="C341" s="16" t="s">
        <v>23</v>
      </c>
      <c r="D341" s="16" t="s">
        <v>17</v>
      </c>
      <c r="E341" s="17">
        <v>214</v>
      </c>
      <c r="F341" s="18">
        <v>4999</v>
      </c>
      <c r="G341" s="18">
        <f t="shared" si="15"/>
        <v>1069786</v>
      </c>
      <c r="H341" s="18">
        <v>811078</v>
      </c>
      <c r="I341" s="19">
        <f t="shared" si="16"/>
        <v>1.3189680893822788</v>
      </c>
      <c r="J341" s="18">
        <v>67218</v>
      </c>
      <c r="K341" s="18">
        <f t="shared" si="17"/>
        <v>1002568</v>
      </c>
    </row>
    <row r="342" spans="1:11" x14ac:dyDescent="0.2">
      <c r="A342" s="16" t="s">
        <v>37</v>
      </c>
      <c r="B342" s="16" t="s">
        <v>22</v>
      </c>
      <c r="C342" s="16" t="s">
        <v>24</v>
      </c>
      <c r="D342" s="16" t="s">
        <v>14</v>
      </c>
      <c r="E342" s="17">
        <v>114</v>
      </c>
      <c r="F342" s="18">
        <v>1499</v>
      </c>
      <c r="G342" s="18">
        <f t="shared" si="15"/>
        <v>170886</v>
      </c>
      <c r="H342" s="18">
        <v>1809288</v>
      </c>
      <c r="I342" s="19">
        <f t="shared" si="16"/>
        <v>9.4449308236168039E-2</v>
      </c>
      <c r="J342" s="18">
        <v>193748</v>
      </c>
      <c r="K342" s="18">
        <f t="shared" si="17"/>
        <v>-22862</v>
      </c>
    </row>
    <row r="343" spans="1:11" x14ac:dyDescent="0.2">
      <c r="A343" s="16" t="s">
        <v>37</v>
      </c>
      <c r="B343" s="16" t="s">
        <v>22</v>
      </c>
      <c r="C343" s="16" t="s">
        <v>24</v>
      </c>
      <c r="D343" s="16" t="s">
        <v>15</v>
      </c>
      <c r="E343" s="17">
        <v>216</v>
      </c>
      <c r="F343" s="18">
        <v>2499</v>
      </c>
      <c r="G343" s="18">
        <f t="shared" si="15"/>
        <v>539784</v>
      </c>
      <c r="H343" s="18">
        <v>1752821</v>
      </c>
      <c r="I343" s="19">
        <f t="shared" si="16"/>
        <v>0.30795158204973583</v>
      </c>
      <c r="J343" s="18">
        <v>189082</v>
      </c>
      <c r="K343" s="18">
        <f t="shared" si="17"/>
        <v>350702</v>
      </c>
    </row>
    <row r="344" spans="1:11" x14ac:dyDescent="0.2">
      <c r="A344" s="16" t="s">
        <v>37</v>
      </c>
      <c r="B344" s="16" t="s">
        <v>22</v>
      </c>
      <c r="C344" s="16" t="s">
        <v>24</v>
      </c>
      <c r="D344" s="16" t="s">
        <v>16</v>
      </c>
      <c r="E344" s="17">
        <v>200</v>
      </c>
      <c r="F344" s="18">
        <v>2499</v>
      </c>
      <c r="G344" s="18">
        <f t="shared" si="15"/>
        <v>499800</v>
      </c>
      <c r="H344" s="18">
        <v>1560217</v>
      </c>
      <c r="I344" s="19">
        <f t="shared" si="16"/>
        <v>0.32034005526154374</v>
      </c>
      <c r="J344" s="18">
        <v>162774</v>
      </c>
      <c r="K344" s="18">
        <f t="shared" si="17"/>
        <v>337026</v>
      </c>
    </row>
    <row r="345" spans="1:11" x14ac:dyDescent="0.2">
      <c r="A345" s="16" t="s">
        <v>37</v>
      </c>
      <c r="B345" s="16" t="s">
        <v>22</v>
      </c>
      <c r="C345" s="16" t="s">
        <v>24</v>
      </c>
      <c r="D345" s="16" t="s">
        <v>17</v>
      </c>
      <c r="E345" s="17">
        <v>100</v>
      </c>
      <c r="F345" s="18">
        <v>500</v>
      </c>
      <c r="G345" s="18">
        <f t="shared" si="15"/>
        <v>50000</v>
      </c>
      <c r="H345" s="18">
        <v>1873032</v>
      </c>
      <c r="I345" s="19">
        <f t="shared" si="16"/>
        <v>2.6694685408471398E-2</v>
      </c>
      <c r="J345" s="18">
        <v>194529</v>
      </c>
      <c r="K345" s="18">
        <f t="shared" si="17"/>
        <v>-144529</v>
      </c>
    </row>
    <row r="346" spans="1:11" x14ac:dyDescent="0.2">
      <c r="A346" s="16" t="s">
        <v>37</v>
      </c>
      <c r="B346" s="16" t="s">
        <v>25</v>
      </c>
      <c r="C346" s="16" t="s">
        <v>26</v>
      </c>
      <c r="D346" s="16" t="s">
        <v>14</v>
      </c>
      <c r="E346" s="17">
        <v>160</v>
      </c>
      <c r="F346" s="18">
        <v>2499</v>
      </c>
      <c r="G346" s="18">
        <f t="shared" si="15"/>
        <v>399840</v>
      </c>
      <c r="H346" s="18">
        <v>1446979</v>
      </c>
      <c r="I346" s="19">
        <f t="shared" si="16"/>
        <v>0.2763274380623354</v>
      </c>
      <c r="J346" s="18">
        <v>109898</v>
      </c>
      <c r="K346" s="18">
        <f t="shared" si="17"/>
        <v>289942</v>
      </c>
    </row>
    <row r="347" spans="1:11" x14ac:dyDescent="0.2">
      <c r="A347" s="16" t="s">
        <v>37</v>
      </c>
      <c r="B347" s="16" t="s">
        <v>25</v>
      </c>
      <c r="C347" s="16" t="s">
        <v>26</v>
      </c>
      <c r="D347" s="16" t="s">
        <v>15</v>
      </c>
      <c r="E347" s="17">
        <v>261</v>
      </c>
      <c r="F347" s="18">
        <v>1499</v>
      </c>
      <c r="G347" s="18">
        <f t="shared" si="15"/>
        <v>391239</v>
      </c>
      <c r="H347" s="18">
        <v>1451056</v>
      </c>
      <c r="I347" s="19">
        <f t="shared" si="16"/>
        <v>0.26962363961142782</v>
      </c>
      <c r="J347" s="18">
        <v>154524</v>
      </c>
      <c r="K347" s="18">
        <f t="shared" si="17"/>
        <v>236715</v>
      </c>
    </row>
    <row r="348" spans="1:11" x14ac:dyDescent="0.2">
      <c r="A348" s="16" t="s">
        <v>37</v>
      </c>
      <c r="B348" s="16" t="s">
        <v>25</v>
      </c>
      <c r="C348" s="16" t="s">
        <v>26</v>
      </c>
      <c r="D348" s="16" t="s">
        <v>16</v>
      </c>
      <c r="E348" s="17">
        <v>262</v>
      </c>
      <c r="F348" s="18">
        <v>500</v>
      </c>
      <c r="G348" s="18">
        <f t="shared" si="15"/>
        <v>131000</v>
      </c>
      <c r="H348" s="18">
        <v>1155461</v>
      </c>
      <c r="I348" s="19">
        <f t="shared" si="16"/>
        <v>0.11337466171510766</v>
      </c>
      <c r="J348" s="18">
        <v>161873</v>
      </c>
      <c r="K348" s="18">
        <f t="shared" si="17"/>
        <v>-30873</v>
      </c>
    </row>
    <row r="349" spans="1:11" x14ac:dyDescent="0.2">
      <c r="A349" s="16" t="s">
        <v>37</v>
      </c>
      <c r="B349" s="16" t="s">
        <v>25</v>
      </c>
      <c r="C349" s="16" t="s">
        <v>26</v>
      </c>
      <c r="D349" s="16" t="s">
        <v>17</v>
      </c>
      <c r="E349" s="17">
        <v>210</v>
      </c>
      <c r="F349" s="18">
        <v>1499</v>
      </c>
      <c r="G349" s="18">
        <f t="shared" si="15"/>
        <v>314790</v>
      </c>
      <c r="H349" s="18">
        <v>1284966</v>
      </c>
      <c r="I349" s="19">
        <f t="shared" si="16"/>
        <v>0.24497924458701631</v>
      </c>
      <c r="J349" s="18">
        <v>90013</v>
      </c>
      <c r="K349" s="18">
        <f t="shared" si="17"/>
        <v>224777</v>
      </c>
    </row>
    <row r="350" spans="1:11" x14ac:dyDescent="0.2">
      <c r="A350" s="16" t="s">
        <v>37</v>
      </c>
      <c r="B350" s="16" t="s">
        <v>25</v>
      </c>
      <c r="C350" s="16" t="s">
        <v>27</v>
      </c>
      <c r="D350" s="16" t="s">
        <v>14</v>
      </c>
      <c r="E350" s="17">
        <v>292</v>
      </c>
      <c r="F350" s="18">
        <v>500</v>
      </c>
      <c r="G350" s="18">
        <f t="shared" si="15"/>
        <v>146000</v>
      </c>
      <c r="H350" s="18">
        <v>691312</v>
      </c>
      <c r="I350" s="19">
        <f t="shared" si="16"/>
        <v>0.21119263082370912</v>
      </c>
      <c r="J350" s="18">
        <v>72377</v>
      </c>
      <c r="K350" s="18">
        <f t="shared" si="17"/>
        <v>73623</v>
      </c>
    </row>
    <row r="351" spans="1:11" x14ac:dyDescent="0.2">
      <c r="A351" s="16" t="s">
        <v>37</v>
      </c>
      <c r="B351" s="16" t="s">
        <v>25</v>
      </c>
      <c r="C351" s="16" t="s">
        <v>27</v>
      </c>
      <c r="D351" s="16" t="s">
        <v>15</v>
      </c>
      <c r="E351" s="17">
        <v>97</v>
      </c>
      <c r="F351" s="18">
        <v>2499</v>
      </c>
      <c r="G351" s="18">
        <f t="shared" si="15"/>
        <v>242403</v>
      </c>
      <c r="H351" s="18">
        <v>702510</v>
      </c>
      <c r="I351" s="19">
        <f t="shared" si="16"/>
        <v>0.34505273946278348</v>
      </c>
      <c r="J351" s="18">
        <v>147687</v>
      </c>
      <c r="K351" s="18">
        <f t="shared" si="17"/>
        <v>94716</v>
      </c>
    </row>
    <row r="352" spans="1:11" x14ac:dyDescent="0.2">
      <c r="A352" s="16" t="s">
        <v>37</v>
      </c>
      <c r="B352" s="16" t="s">
        <v>25</v>
      </c>
      <c r="C352" s="16" t="s">
        <v>27</v>
      </c>
      <c r="D352" s="16" t="s">
        <v>16</v>
      </c>
      <c r="E352" s="17">
        <v>116</v>
      </c>
      <c r="F352" s="18">
        <v>4999</v>
      </c>
      <c r="G352" s="18">
        <f t="shared" si="15"/>
        <v>579884</v>
      </c>
      <c r="H352" s="18">
        <v>625789</v>
      </c>
      <c r="I352" s="19">
        <f t="shared" si="16"/>
        <v>0.92664460385209713</v>
      </c>
      <c r="J352" s="18">
        <v>197216</v>
      </c>
      <c r="K352" s="18">
        <f t="shared" si="17"/>
        <v>382668</v>
      </c>
    </row>
    <row r="353" spans="1:11" x14ac:dyDescent="0.2">
      <c r="A353" s="16" t="s">
        <v>37</v>
      </c>
      <c r="B353" s="16" t="s">
        <v>25</v>
      </c>
      <c r="C353" s="16" t="s">
        <v>27</v>
      </c>
      <c r="D353" s="16" t="s">
        <v>17</v>
      </c>
      <c r="E353" s="17">
        <v>337</v>
      </c>
      <c r="F353" s="18">
        <v>1499</v>
      </c>
      <c r="G353" s="18">
        <f t="shared" si="15"/>
        <v>505163</v>
      </c>
      <c r="H353" s="18">
        <v>1905119</v>
      </c>
      <c r="I353" s="19">
        <f t="shared" si="16"/>
        <v>0.26516086396702776</v>
      </c>
      <c r="J353" s="18">
        <v>82042</v>
      </c>
      <c r="K353" s="18">
        <f t="shared" si="17"/>
        <v>423121</v>
      </c>
    </row>
    <row r="354" spans="1:11" x14ac:dyDescent="0.2">
      <c r="A354" s="16" t="s">
        <v>38</v>
      </c>
      <c r="B354" s="16" t="s">
        <v>12</v>
      </c>
      <c r="C354" s="16" t="s">
        <v>13</v>
      </c>
      <c r="D354" s="16" t="s">
        <v>14</v>
      </c>
      <c r="E354" s="17">
        <v>260</v>
      </c>
      <c r="F354" s="18">
        <v>1499</v>
      </c>
      <c r="G354" s="18">
        <f t="shared" si="15"/>
        <v>389740</v>
      </c>
      <c r="H354" s="18">
        <v>1895320</v>
      </c>
      <c r="I354" s="19">
        <f t="shared" si="16"/>
        <v>0.20563282189814913</v>
      </c>
      <c r="J354" s="18">
        <v>160870</v>
      </c>
      <c r="K354" s="18">
        <f t="shared" si="17"/>
        <v>228870</v>
      </c>
    </row>
    <row r="355" spans="1:11" x14ac:dyDescent="0.2">
      <c r="A355" s="16" t="s">
        <v>38</v>
      </c>
      <c r="B355" s="16" t="s">
        <v>12</v>
      </c>
      <c r="C355" s="16" t="s">
        <v>13</v>
      </c>
      <c r="D355" s="16" t="s">
        <v>15</v>
      </c>
      <c r="E355" s="17">
        <v>76</v>
      </c>
      <c r="F355" s="18">
        <v>1499</v>
      </c>
      <c r="G355" s="18">
        <f t="shared" si="15"/>
        <v>113924</v>
      </c>
      <c r="H355" s="18">
        <v>1759151</v>
      </c>
      <c r="I355" s="19">
        <f t="shared" si="16"/>
        <v>6.4760785174211882E-2</v>
      </c>
      <c r="J355" s="18">
        <v>131906</v>
      </c>
      <c r="K355" s="18">
        <f t="shared" si="17"/>
        <v>-17982</v>
      </c>
    </row>
    <row r="356" spans="1:11" x14ac:dyDescent="0.2">
      <c r="A356" s="16" t="s">
        <v>38</v>
      </c>
      <c r="B356" s="16" t="s">
        <v>12</v>
      </c>
      <c r="C356" s="16" t="s">
        <v>13</v>
      </c>
      <c r="D356" s="16" t="s">
        <v>16</v>
      </c>
      <c r="E356" s="17">
        <v>230</v>
      </c>
      <c r="F356" s="18">
        <v>500</v>
      </c>
      <c r="G356" s="18">
        <f t="shared" si="15"/>
        <v>115000</v>
      </c>
      <c r="H356" s="18">
        <v>1711982</v>
      </c>
      <c r="I356" s="19">
        <f t="shared" si="16"/>
        <v>6.7173603460784048E-2</v>
      </c>
      <c r="J356" s="18">
        <v>183015</v>
      </c>
      <c r="K356" s="18">
        <f t="shared" si="17"/>
        <v>-68015</v>
      </c>
    </row>
    <row r="357" spans="1:11" x14ac:dyDescent="0.2">
      <c r="A357" s="16" t="s">
        <v>38</v>
      </c>
      <c r="B357" s="16" t="s">
        <v>12</v>
      </c>
      <c r="C357" s="16" t="s">
        <v>13</v>
      </c>
      <c r="D357" s="16" t="s">
        <v>17</v>
      </c>
      <c r="E357" s="17">
        <v>158</v>
      </c>
      <c r="F357" s="18">
        <v>999</v>
      </c>
      <c r="G357" s="18">
        <f t="shared" si="15"/>
        <v>157842</v>
      </c>
      <c r="H357" s="18">
        <v>1877275</v>
      </c>
      <c r="I357" s="19">
        <f t="shared" si="16"/>
        <v>8.4080382469270618E-2</v>
      </c>
      <c r="J357" s="18">
        <v>176403</v>
      </c>
      <c r="K357" s="18">
        <f t="shared" si="17"/>
        <v>-18561</v>
      </c>
    </row>
    <row r="358" spans="1:11" x14ac:dyDescent="0.2">
      <c r="A358" s="16" t="s">
        <v>38</v>
      </c>
      <c r="B358" s="16" t="s">
        <v>12</v>
      </c>
      <c r="C358" s="16" t="s">
        <v>18</v>
      </c>
      <c r="D358" s="16" t="s">
        <v>14</v>
      </c>
      <c r="E358" s="17">
        <v>164</v>
      </c>
      <c r="F358" s="18">
        <v>500</v>
      </c>
      <c r="G358" s="18">
        <f t="shared" si="15"/>
        <v>82000</v>
      </c>
      <c r="H358" s="18">
        <v>1234242</v>
      </c>
      <c r="I358" s="19">
        <f t="shared" si="16"/>
        <v>6.6437538181329109E-2</v>
      </c>
      <c r="J358" s="18">
        <v>195821</v>
      </c>
      <c r="K358" s="18">
        <f t="shared" si="17"/>
        <v>-113821</v>
      </c>
    </row>
    <row r="359" spans="1:11" x14ac:dyDescent="0.2">
      <c r="A359" s="16" t="s">
        <v>38</v>
      </c>
      <c r="B359" s="16" t="s">
        <v>12</v>
      </c>
      <c r="C359" s="16" t="s">
        <v>18</v>
      </c>
      <c r="D359" s="16" t="s">
        <v>15</v>
      </c>
      <c r="E359" s="17">
        <v>238</v>
      </c>
      <c r="F359" s="18">
        <v>500</v>
      </c>
      <c r="G359" s="18">
        <f t="shared" si="15"/>
        <v>119000</v>
      </c>
      <c r="H359" s="18">
        <v>1084199</v>
      </c>
      <c r="I359" s="19">
        <f t="shared" si="16"/>
        <v>0.10975844840292234</v>
      </c>
      <c r="J359" s="18">
        <v>109286</v>
      </c>
      <c r="K359" s="18">
        <f t="shared" si="17"/>
        <v>9714</v>
      </c>
    </row>
    <row r="360" spans="1:11" x14ac:dyDescent="0.2">
      <c r="A360" s="16" t="s">
        <v>38</v>
      </c>
      <c r="B360" s="16" t="s">
        <v>12</v>
      </c>
      <c r="C360" s="16" t="s">
        <v>18</v>
      </c>
      <c r="D360" s="16" t="s">
        <v>16</v>
      </c>
      <c r="E360" s="17">
        <v>269</v>
      </c>
      <c r="F360" s="18">
        <v>4999</v>
      </c>
      <c r="G360" s="18">
        <f t="shared" si="15"/>
        <v>1344731</v>
      </c>
      <c r="H360" s="18">
        <v>1803849</v>
      </c>
      <c r="I360" s="19">
        <f t="shared" si="16"/>
        <v>0.74547869583318782</v>
      </c>
      <c r="J360" s="18">
        <v>195945</v>
      </c>
      <c r="K360" s="18">
        <f t="shared" si="17"/>
        <v>1148786</v>
      </c>
    </row>
    <row r="361" spans="1:11" x14ac:dyDescent="0.2">
      <c r="A361" s="16" t="s">
        <v>38</v>
      </c>
      <c r="B361" s="16" t="s">
        <v>12</v>
      </c>
      <c r="C361" s="16" t="s">
        <v>18</v>
      </c>
      <c r="D361" s="16" t="s">
        <v>17</v>
      </c>
      <c r="E361" s="17">
        <v>63</v>
      </c>
      <c r="F361" s="18">
        <v>4999</v>
      </c>
      <c r="G361" s="18">
        <f t="shared" si="15"/>
        <v>314937</v>
      </c>
      <c r="H361" s="18">
        <v>1879572</v>
      </c>
      <c r="I361" s="19">
        <f t="shared" si="16"/>
        <v>0.16755782699465624</v>
      </c>
      <c r="J361" s="18">
        <v>120109</v>
      </c>
      <c r="K361" s="18">
        <f t="shared" si="17"/>
        <v>194828</v>
      </c>
    </row>
    <row r="362" spans="1:11" x14ac:dyDescent="0.2">
      <c r="A362" s="16" t="s">
        <v>38</v>
      </c>
      <c r="B362" s="16" t="s">
        <v>19</v>
      </c>
      <c r="C362" s="16" t="s">
        <v>20</v>
      </c>
      <c r="D362" s="16" t="s">
        <v>14</v>
      </c>
      <c r="E362" s="17">
        <v>64</v>
      </c>
      <c r="F362" s="18">
        <v>999</v>
      </c>
      <c r="G362" s="18">
        <f t="shared" si="15"/>
        <v>63936</v>
      </c>
      <c r="H362" s="18">
        <v>1073089</v>
      </c>
      <c r="I362" s="19">
        <f t="shared" si="16"/>
        <v>5.9581264927699377E-2</v>
      </c>
      <c r="J362" s="18">
        <v>130998</v>
      </c>
      <c r="K362" s="18">
        <f t="shared" si="17"/>
        <v>-67062</v>
      </c>
    </row>
    <row r="363" spans="1:11" x14ac:dyDescent="0.2">
      <c r="A363" s="16" t="s">
        <v>38</v>
      </c>
      <c r="B363" s="16" t="s">
        <v>19</v>
      </c>
      <c r="C363" s="16" t="s">
        <v>20</v>
      </c>
      <c r="D363" s="16" t="s">
        <v>15</v>
      </c>
      <c r="E363" s="17">
        <v>223</v>
      </c>
      <c r="F363" s="18">
        <v>1499</v>
      </c>
      <c r="G363" s="18">
        <f t="shared" si="15"/>
        <v>334277</v>
      </c>
      <c r="H363" s="18">
        <v>512804</v>
      </c>
      <c r="I363" s="19">
        <f t="shared" si="16"/>
        <v>0.65186113992870576</v>
      </c>
      <c r="J363" s="18">
        <v>97554</v>
      </c>
      <c r="K363" s="18">
        <f t="shared" si="17"/>
        <v>236723</v>
      </c>
    </row>
    <row r="364" spans="1:11" x14ac:dyDescent="0.2">
      <c r="A364" s="16" t="s">
        <v>38</v>
      </c>
      <c r="B364" s="16" t="s">
        <v>19</v>
      </c>
      <c r="C364" s="16" t="s">
        <v>20</v>
      </c>
      <c r="D364" s="16" t="s">
        <v>16</v>
      </c>
      <c r="E364" s="17">
        <v>123</v>
      </c>
      <c r="F364" s="18">
        <v>4999</v>
      </c>
      <c r="G364" s="18">
        <f t="shared" si="15"/>
        <v>614877</v>
      </c>
      <c r="H364" s="18">
        <v>1878551</v>
      </c>
      <c r="I364" s="19">
        <f t="shared" si="16"/>
        <v>0.32731450996007028</v>
      </c>
      <c r="J364" s="18">
        <v>155063</v>
      </c>
      <c r="K364" s="18">
        <f t="shared" si="17"/>
        <v>459814</v>
      </c>
    </row>
    <row r="365" spans="1:11" x14ac:dyDescent="0.2">
      <c r="A365" s="16" t="s">
        <v>38</v>
      </c>
      <c r="B365" s="16" t="s">
        <v>19</v>
      </c>
      <c r="C365" s="16" t="s">
        <v>20</v>
      </c>
      <c r="D365" s="16" t="s">
        <v>17</v>
      </c>
      <c r="E365" s="17">
        <v>85</v>
      </c>
      <c r="F365" s="18">
        <v>999</v>
      </c>
      <c r="G365" s="18">
        <f t="shared" si="15"/>
        <v>84915</v>
      </c>
      <c r="H365" s="18">
        <v>1827857</v>
      </c>
      <c r="I365" s="19">
        <f t="shared" si="16"/>
        <v>4.6456041145450655E-2</v>
      </c>
      <c r="J365" s="18">
        <v>58036</v>
      </c>
      <c r="K365" s="18">
        <f t="shared" si="17"/>
        <v>26879</v>
      </c>
    </row>
    <row r="366" spans="1:11" x14ac:dyDescent="0.2">
      <c r="A366" s="16" t="s">
        <v>38</v>
      </c>
      <c r="B366" s="16" t="s">
        <v>19</v>
      </c>
      <c r="C366" s="16" t="s">
        <v>21</v>
      </c>
      <c r="D366" s="16" t="s">
        <v>14</v>
      </c>
      <c r="E366" s="17">
        <v>96</v>
      </c>
      <c r="F366" s="18">
        <v>4999</v>
      </c>
      <c r="G366" s="18">
        <f t="shared" si="15"/>
        <v>479904</v>
      </c>
      <c r="H366" s="18">
        <v>951166</v>
      </c>
      <c r="I366" s="19">
        <f t="shared" si="16"/>
        <v>0.50454284530775906</v>
      </c>
      <c r="J366" s="18">
        <v>148617</v>
      </c>
      <c r="K366" s="18">
        <f t="shared" si="17"/>
        <v>331287</v>
      </c>
    </row>
    <row r="367" spans="1:11" x14ac:dyDescent="0.2">
      <c r="A367" s="16" t="s">
        <v>38</v>
      </c>
      <c r="B367" s="16" t="s">
        <v>19</v>
      </c>
      <c r="C367" s="16" t="s">
        <v>21</v>
      </c>
      <c r="D367" s="16" t="s">
        <v>15</v>
      </c>
      <c r="E367" s="17">
        <v>264</v>
      </c>
      <c r="F367" s="18">
        <v>2499</v>
      </c>
      <c r="G367" s="18">
        <f t="shared" si="15"/>
        <v>659736</v>
      </c>
      <c r="H367" s="18">
        <v>1214910</v>
      </c>
      <c r="I367" s="19">
        <f t="shared" si="16"/>
        <v>0.54303281724572194</v>
      </c>
      <c r="J367" s="18">
        <v>91263</v>
      </c>
      <c r="K367" s="18">
        <f t="shared" si="17"/>
        <v>568473</v>
      </c>
    </row>
    <row r="368" spans="1:11" x14ac:dyDescent="0.2">
      <c r="A368" s="16" t="s">
        <v>38</v>
      </c>
      <c r="B368" s="16" t="s">
        <v>19</v>
      </c>
      <c r="C368" s="16" t="s">
        <v>21</v>
      </c>
      <c r="D368" s="16" t="s">
        <v>16</v>
      </c>
      <c r="E368" s="17">
        <v>239</v>
      </c>
      <c r="F368" s="18">
        <v>1499</v>
      </c>
      <c r="G368" s="18">
        <f t="shared" si="15"/>
        <v>358261</v>
      </c>
      <c r="H368" s="18">
        <v>1180280</v>
      </c>
      <c r="I368" s="19">
        <f t="shared" si="16"/>
        <v>0.30353899074795809</v>
      </c>
      <c r="J368" s="18">
        <v>198791</v>
      </c>
      <c r="K368" s="18">
        <f t="shared" si="17"/>
        <v>159470</v>
      </c>
    </row>
    <row r="369" spans="1:11" x14ac:dyDescent="0.2">
      <c r="A369" s="16" t="s">
        <v>38</v>
      </c>
      <c r="B369" s="16" t="s">
        <v>19</v>
      </c>
      <c r="C369" s="16" t="s">
        <v>21</v>
      </c>
      <c r="D369" s="16" t="s">
        <v>17</v>
      </c>
      <c r="E369" s="17">
        <v>355</v>
      </c>
      <c r="F369" s="18">
        <v>500</v>
      </c>
      <c r="G369" s="18">
        <f t="shared" si="15"/>
        <v>177500</v>
      </c>
      <c r="H369" s="18">
        <v>610328</v>
      </c>
      <c r="I369" s="19">
        <f t="shared" si="16"/>
        <v>0.29082722732694549</v>
      </c>
      <c r="J369" s="18">
        <v>90784</v>
      </c>
      <c r="K369" s="18">
        <f t="shared" si="17"/>
        <v>86716</v>
      </c>
    </row>
    <row r="370" spans="1:11" x14ac:dyDescent="0.2">
      <c r="A370" s="16" t="s">
        <v>38</v>
      </c>
      <c r="B370" s="16" t="s">
        <v>22</v>
      </c>
      <c r="C370" s="16" t="s">
        <v>23</v>
      </c>
      <c r="D370" s="16" t="s">
        <v>14</v>
      </c>
      <c r="E370" s="17">
        <v>130</v>
      </c>
      <c r="F370" s="18">
        <v>4999</v>
      </c>
      <c r="G370" s="18">
        <f t="shared" si="15"/>
        <v>649870</v>
      </c>
      <c r="H370" s="18">
        <v>604359</v>
      </c>
      <c r="I370" s="19">
        <f t="shared" si="16"/>
        <v>1.0753045789009512</v>
      </c>
      <c r="J370" s="18">
        <v>71386</v>
      </c>
      <c r="K370" s="18">
        <f t="shared" si="17"/>
        <v>578484</v>
      </c>
    </row>
    <row r="371" spans="1:11" x14ac:dyDescent="0.2">
      <c r="A371" s="16" t="s">
        <v>38</v>
      </c>
      <c r="B371" s="16" t="s">
        <v>22</v>
      </c>
      <c r="C371" s="16" t="s">
        <v>23</v>
      </c>
      <c r="D371" s="16" t="s">
        <v>15</v>
      </c>
      <c r="E371" s="17">
        <v>189</v>
      </c>
      <c r="F371" s="18">
        <v>2499</v>
      </c>
      <c r="G371" s="18">
        <f t="shared" si="15"/>
        <v>472311</v>
      </c>
      <c r="H371" s="18">
        <v>1888186</v>
      </c>
      <c r="I371" s="19">
        <f t="shared" si="16"/>
        <v>0.25014008153857725</v>
      </c>
      <c r="J371" s="18">
        <v>161152</v>
      </c>
      <c r="K371" s="18">
        <f t="shared" si="17"/>
        <v>311159</v>
      </c>
    </row>
    <row r="372" spans="1:11" x14ac:dyDescent="0.2">
      <c r="A372" s="16" t="s">
        <v>38</v>
      </c>
      <c r="B372" s="16" t="s">
        <v>22</v>
      </c>
      <c r="C372" s="16" t="s">
        <v>23</v>
      </c>
      <c r="D372" s="16" t="s">
        <v>16</v>
      </c>
      <c r="E372" s="17">
        <v>298</v>
      </c>
      <c r="F372" s="18">
        <v>4999</v>
      </c>
      <c r="G372" s="18">
        <f t="shared" si="15"/>
        <v>1489702</v>
      </c>
      <c r="H372" s="18">
        <v>1427033</v>
      </c>
      <c r="I372" s="19">
        <f t="shared" si="16"/>
        <v>1.0439155927017805</v>
      </c>
      <c r="J372" s="18">
        <v>158575</v>
      </c>
      <c r="K372" s="18">
        <f t="shared" si="17"/>
        <v>1331127</v>
      </c>
    </row>
    <row r="373" spans="1:11" x14ac:dyDescent="0.2">
      <c r="A373" s="16" t="s">
        <v>38</v>
      </c>
      <c r="B373" s="16" t="s">
        <v>22</v>
      </c>
      <c r="C373" s="16" t="s">
        <v>23</v>
      </c>
      <c r="D373" s="16" t="s">
        <v>17</v>
      </c>
      <c r="E373" s="17">
        <v>189</v>
      </c>
      <c r="F373" s="18">
        <v>999</v>
      </c>
      <c r="G373" s="18">
        <f t="shared" si="15"/>
        <v>188811</v>
      </c>
      <c r="H373" s="18">
        <v>1574468</v>
      </c>
      <c r="I373" s="19">
        <f t="shared" si="16"/>
        <v>0.11992050648218953</v>
      </c>
      <c r="J373" s="18">
        <v>79836</v>
      </c>
      <c r="K373" s="18">
        <f t="shared" si="17"/>
        <v>108975</v>
      </c>
    </row>
    <row r="374" spans="1:11" x14ac:dyDescent="0.2">
      <c r="A374" s="16" t="s">
        <v>38</v>
      </c>
      <c r="B374" s="16" t="s">
        <v>22</v>
      </c>
      <c r="C374" s="16" t="s">
        <v>24</v>
      </c>
      <c r="D374" s="16" t="s">
        <v>14</v>
      </c>
      <c r="E374" s="17">
        <v>226</v>
      </c>
      <c r="F374" s="18">
        <v>2499</v>
      </c>
      <c r="G374" s="18">
        <f t="shared" si="15"/>
        <v>564774</v>
      </c>
      <c r="H374" s="18">
        <v>732552</v>
      </c>
      <c r="I374" s="19">
        <f t="shared" si="16"/>
        <v>0.7709677947777086</v>
      </c>
      <c r="J374" s="18">
        <v>124251</v>
      </c>
      <c r="K374" s="18">
        <f t="shared" si="17"/>
        <v>440523</v>
      </c>
    </row>
    <row r="375" spans="1:11" x14ac:dyDescent="0.2">
      <c r="A375" s="16" t="s">
        <v>38</v>
      </c>
      <c r="B375" s="16" t="s">
        <v>22</v>
      </c>
      <c r="C375" s="16" t="s">
        <v>24</v>
      </c>
      <c r="D375" s="16" t="s">
        <v>15</v>
      </c>
      <c r="E375" s="17">
        <v>397</v>
      </c>
      <c r="F375" s="18">
        <v>4999</v>
      </c>
      <c r="G375" s="18">
        <f t="shared" si="15"/>
        <v>1984603</v>
      </c>
      <c r="H375" s="18">
        <v>1520542</v>
      </c>
      <c r="I375" s="19">
        <f t="shared" si="16"/>
        <v>1.3051944635531278</v>
      </c>
      <c r="J375" s="18">
        <v>188132</v>
      </c>
      <c r="K375" s="18">
        <f t="shared" si="17"/>
        <v>1796471</v>
      </c>
    </row>
    <row r="376" spans="1:11" x14ac:dyDescent="0.2">
      <c r="A376" s="16" t="s">
        <v>38</v>
      </c>
      <c r="B376" s="16" t="s">
        <v>22</v>
      </c>
      <c r="C376" s="16" t="s">
        <v>24</v>
      </c>
      <c r="D376" s="16" t="s">
        <v>16</v>
      </c>
      <c r="E376" s="17">
        <v>391</v>
      </c>
      <c r="F376" s="18">
        <v>1499</v>
      </c>
      <c r="G376" s="18">
        <f t="shared" si="15"/>
        <v>586109</v>
      </c>
      <c r="H376" s="18">
        <v>595247</v>
      </c>
      <c r="I376" s="19">
        <f t="shared" si="16"/>
        <v>0.98464838966009072</v>
      </c>
      <c r="J376" s="18">
        <v>107807</v>
      </c>
      <c r="K376" s="18">
        <f t="shared" si="17"/>
        <v>478302</v>
      </c>
    </row>
    <row r="377" spans="1:11" x14ac:dyDescent="0.2">
      <c r="A377" s="16" t="s">
        <v>38</v>
      </c>
      <c r="B377" s="16" t="s">
        <v>22</v>
      </c>
      <c r="C377" s="16" t="s">
        <v>24</v>
      </c>
      <c r="D377" s="16" t="s">
        <v>17</v>
      </c>
      <c r="E377" s="17">
        <v>252</v>
      </c>
      <c r="F377" s="18">
        <v>4999</v>
      </c>
      <c r="G377" s="18">
        <f t="shared" si="15"/>
        <v>1259748</v>
      </c>
      <c r="H377" s="18">
        <v>614886</v>
      </c>
      <c r="I377" s="19">
        <f t="shared" si="16"/>
        <v>2.0487505000927002</v>
      </c>
      <c r="J377" s="18">
        <v>52015</v>
      </c>
      <c r="K377" s="18">
        <f t="shared" si="17"/>
        <v>1207733</v>
      </c>
    </row>
    <row r="378" spans="1:11" x14ac:dyDescent="0.2">
      <c r="A378" s="16" t="s">
        <v>38</v>
      </c>
      <c r="B378" s="16" t="s">
        <v>25</v>
      </c>
      <c r="C378" s="16" t="s">
        <v>26</v>
      </c>
      <c r="D378" s="16" t="s">
        <v>14</v>
      </c>
      <c r="E378" s="17">
        <v>154</v>
      </c>
      <c r="F378" s="18">
        <v>1499</v>
      </c>
      <c r="G378" s="18">
        <f t="shared" si="15"/>
        <v>230846</v>
      </c>
      <c r="H378" s="18">
        <v>942989</v>
      </c>
      <c r="I378" s="19">
        <f t="shared" si="16"/>
        <v>0.24480243141754571</v>
      </c>
      <c r="J378" s="18">
        <v>85975</v>
      </c>
      <c r="K378" s="18">
        <f t="shared" si="17"/>
        <v>144871</v>
      </c>
    </row>
    <row r="379" spans="1:11" x14ac:dyDescent="0.2">
      <c r="A379" s="16" t="s">
        <v>38</v>
      </c>
      <c r="B379" s="16" t="s">
        <v>25</v>
      </c>
      <c r="C379" s="16" t="s">
        <v>26</v>
      </c>
      <c r="D379" s="16" t="s">
        <v>15</v>
      </c>
      <c r="E379" s="17">
        <v>180</v>
      </c>
      <c r="F379" s="18">
        <v>1499</v>
      </c>
      <c r="G379" s="18">
        <f t="shared" si="15"/>
        <v>269820</v>
      </c>
      <c r="H379" s="18">
        <v>1188122</v>
      </c>
      <c r="I379" s="19">
        <f t="shared" si="16"/>
        <v>0.22709789062066016</v>
      </c>
      <c r="J379" s="18">
        <v>81453</v>
      </c>
      <c r="K379" s="18">
        <f t="shared" si="17"/>
        <v>188367</v>
      </c>
    </row>
    <row r="380" spans="1:11" x14ac:dyDescent="0.2">
      <c r="A380" s="16" t="s">
        <v>38</v>
      </c>
      <c r="B380" s="16" t="s">
        <v>25</v>
      </c>
      <c r="C380" s="16" t="s">
        <v>26</v>
      </c>
      <c r="D380" s="16" t="s">
        <v>16</v>
      </c>
      <c r="E380" s="17">
        <v>53</v>
      </c>
      <c r="F380" s="18">
        <v>2499</v>
      </c>
      <c r="G380" s="18">
        <f t="shared" si="15"/>
        <v>132447</v>
      </c>
      <c r="H380" s="18">
        <v>1403149</v>
      </c>
      <c r="I380" s="19">
        <f t="shared" si="16"/>
        <v>9.4392683884605269E-2</v>
      </c>
      <c r="J380" s="18">
        <v>96057</v>
      </c>
      <c r="K380" s="18">
        <f t="shared" si="17"/>
        <v>36390</v>
      </c>
    </row>
    <row r="381" spans="1:11" x14ac:dyDescent="0.2">
      <c r="A381" s="16" t="s">
        <v>38</v>
      </c>
      <c r="B381" s="16" t="s">
        <v>25</v>
      </c>
      <c r="C381" s="16" t="s">
        <v>26</v>
      </c>
      <c r="D381" s="16" t="s">
        <v>17</v>
      </c>
      <c r="E381" s="17">
        <v>116</v>
      </c>
      <c r="F381" s="18">
        <v>2499</v>
      </c>
      <c r="G381" s="18">
        <f t="shared" si="15"/>
        <v>289884</v>
      </c>
      <c r="H381" s="18">
        <v>1616906</v>
      </c>
      <c r="I381" s="19">
        <f t="shared" si="16"/>
        <v>0.17928314942241541</v>
      </c>
      <c r="J381" s="18">
        <v>110322</v>
      </c>
      <c r="K381" s="18">
        <f t="shared" si="17"/>
        <v>179562</v>
      </c>
    </row>
    <row r="382" spans="1:11" x14ac:dyDescent="0.2">
      <c r="A382" s="16" t="s">
        <v>38</v>
      </c>
      <c r="B382" s="16" t="s">
        <v>25</v>
      </c>
      <c r="C382" s="16" t="s">
        <v>27</v>
      </c>
      <c r="D382" s="16" t="s">
        <v>14</v>
      </c>
      <c r="E382" s="17">
        <v>306</v>
      </c>
      <c r="F382" s="18">
        <v>4999</v>
      </c>
      <c r="G382" s="18">
        <f t="shared" si="15"/>
        <v>1529694</v>
      </c>
      <c r="H382" s="18">
        <v>1900998</v>
      </c>
      <c r="I382" s="19">
        <f t="shared" si="16"/>
        <v>0.80467943680109077</v>
      </c>
      <c r="J382" s="18">
        <v>142842</v>
      </c>
      <c r="K382" s="18">
        <f t="shared" si="17"/>
        <v>1386852</v>
      </c>
    </row>
    <row r="383" spans="1:11" x14ac:dyDescent="0.2">
      <c r="A383" s="16" t="s">
        <v>38</v>
      </c>
      <c r="B383" s="16" t="s">
        <v>25</v>
      </c>
      <c r="C383" s="16" t="s">
        <v>27</v>
      </c>
      <c r="D383" s="16" t="s">
        <v>15</v>
      </c>
      <c r="E383" s="17">
        <v>86</v>
      </c>
      <c r="F383" s="18">
        <v>2499</v>
      </c>
      <c r="G383" s="18">
        <f t="shared" si="15"/>
        <v>214914</v>
      </c>
      <c r="H383" s="18">
        <v>588714</v>
      </c>
      <c r="I383" s="19">
        <f t="shared" si="16"/>
        <v>0.36505671684383251</v>
      </c>
      <c r="J383" s="18">
        <v>164352</v>
      </c>
      <c r="K383" s="18">
        <f t="shared" si="17"/>
        <v>50562</v>
      </c>
    </row>
    <row r="384" spans="1:11" x14ac:dyDescent="0.2">
      <c r="A384" s="16" t="s">
        <v>38</v>
      </c>
      <c r="B384" s="16" t="s">
        <v>25</v>
      </c>
      <c r="C384" s="16" t="s">
        <v>27</v>
      </c>
      <c r="D384" s="16" t="s">
        <v>16</v>
      </c>
      <c r="E384" s="17">
        <v>59</v>
      </c>
      <c r="F384" s="18">
        <v>2499</v>
      </c>
      <c r="G384" s="18">
        <f t="shared" si="15"/>
        <v>147441</v>
      </c>
      <c r="H384" s="18">
        <v>663289</v>
      </c>
      <c r="I384" s="19">
        <f t="shared" si="16"/>
        <v>0.22228772073711459</v>
      </c>
      <c r="J384" s="18">
        <v>132066</v>
      </c>
      <c r="K384" s="18">
        <f t="shared" si="17"/>
        <v>15375</v>
      </c>
    </row>
    <row r="385" spans="1:11" x14ac:dyDescent="0.2">
      <c r="A385" s="16" t="s">
        <v>38</v>
      </c>
      <c r="B385" s="16" t="s">
        <v>25</v>
      </c>
      <c r="C385" s="16" t="s">
        <v>27</v>
      </c>
      <c r="D385" s="16" t="s">
        <v>17</v>
      </c>
      <c r="E385" s="17">
        <v>344</v>
      </c>
      <c r="F385" s="18">
        <v>2499</v>
      </c>
      <c r="G385" s="18">
        <f t="shared" si="15"/>
        <v>859656</v>
      </c>
      <c r="H385" s="18">
        <v>1702506</v>
      </c>
      <c r="I385" s="19">
        <f t="shared" si="16"/>
        <v>0.50493566542496771</v>
      </c>
      <c r="J385" s="18">
        <v>156017</v>
      </c>
      <c r="K385" s="18">
        <f t="shared" si="17"/>
        <v>703639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zoomScaleNormal="100" workbookViewId="0"/>
  </sheetViews>
  <sheetFormatPr baseColWidth="10" defaultColWidth="8.6640625" defaultRowHeight="15" x14ac:dyDescent="0.2"/>
  <cols>
    <col min="1" max="1" width="10" customWidth="1"/>
    <col min="2" max="2" width="16" customWidth="1"/>
    <col min="3" max="8" width="14" customWidth="1"/>
  </cols>
  <sheetData>
    <row r="1" spans="1:8" ht="36" customHeight="1" x14ac:dyDescent="0.2">
      <c r="A1" s="86" t="s">
        <v>39</v>
      </c>
      <c r="B1" s="86"/>
      <c r="C1" s="86"/>
      <c r="D1" s="86"/>
      <c r="E1" s="86"/>
      <c r="F1" s="86"/>
      <c r="G1" s="86"/>
      <c r="H1" s="86"/>
    </row>
    <row r="2" spans="1:8" ht="19.5" customHeight="1" x14ac:dyDescent="0.2">
      <c r="A2" s="13" t="s">
        <v>40</v>
      </c>
      <c r="B2" s="13"/>
      <c r="C2" s="13"/>
      <c r="D2" s="13"/>
      <c r="E2" s="13"/>
      <c r="F2" s="13"/>
      <c r="G2" s="13"/>
      <c r="H2" s="13"/>
    </row>
    <row r="4" spans="1:8" ht="27.75" customHeight="1" x14ac:dyDescent="0.2">
      <c r="A4" s="20" t="s">
        <v>0</v>
      </c>
      <c r="B4" s="20" t="s">
        <v>41</v>
      </c>
      <c r="C4" s="20" t="s">
        <v>42</v>
      </c>
      <c r="D4" s="20" t="s">
        <v>8</v>
      </c>
      <c r="E4" s="20" t="s">
        <v>4</v>
      </c>
      <c r="F4" s="20" t="s">
        <v>43</v>
      </c>
      <c r="G4" s="20" t="s">
        <v>10</v>
      </c>
      <c r="H4" s="20" t="s">
        <v>44</v>
      </c>
    </row>
    <row r="5" spans="1:8" x14ac:dyDescent="0.2">
      <c r="A5" s="21" t="s">
        <v>11</v>
      </c>
      <c r="B5" s="22">
        <f>SUMPRODUCT(('Sales Data'!A$2:A$385=A5)*'Sales Data'!G$2:G$385)</f>
        <v>13830106</v>
      </c>
      <c r="C5" s="22">
        <f>SUMPRODUCT(('Sales Data'!A$2:A$385=A5)*'Sales Data'!H$2:H$385)</f>
        <v>39107602</v>
      </c>
      <c r="D5" s="23">
        <f t="shared" ref="D5:D17" si="0">IF(C5=0,0,B5/C5)</f>
        <v>0.35364239413094162</v>
      </c>
      <c r="E5" s="24">
        <f>SUMPRODUCT(('Sales Data'!A$2:A$385=A5)*'Sales Data'!E$2:E$385)</f>
        <v>7242</v>
      </c>
      <c r="F5" s="22">
        <f>SUMPRODUCT(('Sales Data'!A$2:A$385=A5)*'Sales Data'!J$2:J$385)</f>
        <v>4018521</v>
      </c>
      <c r="G5" s="22">
        <f t="shared" ref="G5:G16" si="1">B5-F5</f>
        <v>9811585</v>
      </c>
      <c r="H5" s="23" t="str">
        <f t="shared" ref="H5:H16" si="2">IF(ROW()=5,"",(B5-B4)/B4)</f>
        <v/>
      </c>
    </row>
    <row r="6" spans="1:8" x14ac:dyDescent="0.2">
      <c r="A6" s="25" t="s">
        <v>28</v>
      </c>
      <c r="B6" s="26">
        <f>SUMPRODUCT(('Sales Data'!A$2:A$385=A6)*'Sales Data'!G$2:G$385)</f>
        <v>17374718</v>
      </c>
      <c r="C6" s="26">
        <f>SUMPRODUCT(('Sales Data'!A$2:A$385=A6)*'Sales Data'!H$2:H$385)</f>
        <v>37861343</v>
      </c>
      <c r="D6" s="27">
        <f t="shared" si="0"/>
        <v>0.4589039010053077</v>
      </c>
      <c r="E6" s="28">
        <f>SUMPRODUCT(('Sales Data'!A$2:A$385=A6)*'Sales Data'!E$2:E$385)</f>
        <v>7731</v>
      </c>
      <c r="F6" s="26">
        <f>SUMPRODUCT(('Sales Data'!A$2:A$385=A6)*'Sales Data'!J$2:J$385)</f>
        <v>4070956</v>
      </c>
      <c r="G6" s="26">
        <f t="shared" si="1"/>
        <v>13303762</v>
      </c>
      <c r="H6" s="27">
        <f t="shared" si="2"/>
        <v>0.25629680640191765</v>
      </c>
    </row>
    <row r="7" spans="1:8" x14ac:dyDescent="0.2">
      <c r="A7" s="21" t="s">
        <v>29</v>
      </c>
      <c r="B7" s="22">
        <f>SUMPRODUCT(('Sales Data'!A$2:A$385=A7)*'Sales Data'!G$2:G$385)</f>
        <v>17025730</v>
      </c>
      <c r="C7" s="22">
        <f>SUMPRODUCT(('Sales Data'!A$2:A$385=A7)*'Sales Data'!H$2:H$385)</f>
        <v>38247090</v>
      </c>
      <c r="D7" s="23">
        <f t="shared" si="0"/>
        <v>0.44515099057209317</v>
      </c>
      <c r="E7" s="24">
        <f>SUMPRODUCT(('Sales Data'!A$2:A$385=A7)*'Sales Data'!E$2:E$385)</f>
        <v>7724</v>
      </c>
      <c r="F7" s="22">
        <f>SUMPRODUCT(('Sales Data'!A$2:A$385=A7)*'Sales Data'!J$2:J$385)</f>
        <v>3493018</v>
      </c>
      <c r="G7" s="22">
        <f t="shared" si="1"/>
        <v>13532712</v>
      </c>
      <c r="H7" s="23">
        <f t="shared" si="2"/>
        <v>-2.0085966287337727E-2</v>
      </c>
    </row>
    <row r="8" spans="1:8" x14ac:dyDescent="0.2">
      <c r="A8" s="25" t="s">
        <v>30</v>
      </c>
      <c r="B8" s="26">
        <f>SUMPRODUCT(('Sales Data'!A$2:A$385=A8)*'Sales Data'!G$2:G$385)</f>
        <v>14874430</v>
      </c>
      <c r="C8" s="26">
        <f>SUMPRODUCT(('Sales Data'!A$2:A$385=A8)*'Sales Data'!H$2:H$385)</f>
        <v>40903223</v>
      </c>
      <c r="D8" s="27">
        <f t="shared" si="0"/>
        <v>0.36364933883083</v>
      </c>
      <c r="E8" s="28">
        <f>SUMPRODUCT(('Sales Data'!A$2:A$385=A8)*'Sales Data'!E$2:E$385)</f>
        <v>6737</v>
      </c>
      <c r="F8" s="26">
        <f>SUMPRODUCT(('Sales Data'!A$2:A$385=A8)*'Sales Data'!J$2:J$385)</f>
        <v>4002241</v>
      </c>
      <c r="G8" s="26">
        <f t="shared" si="1"/>
        <v>10872189</v>
      </c>
      <c r="H8" s="27">
        <f t="shared" si="2"/>
        <v>-0.1263558155803011</v>
      </c>
    </row>
    <row r="9" spans="1:8" x14ac:dyDescent="0.2">
      <c r="A9" s="21" t="s">
        <v>31</v>
      </c>
      <c r="B9" s="22">
        <f>SUMPRODUCT(('Sales Data'!A$2:A$385=A9)*'Sales Data'!G$2:G$385)</f>
        <v>15586311</v>
      </c>
      <c r="C9" s="22">
        <f>SUMPRODUCT(('Sales Data'!A$2:A$385=A9)*'Sales Data'!H$2:H$385)</f>
        <v>44422939</v>
      </c>
      <c r="D9" s="23">
        <f t="shared" si="0"/>
        <v>0.35086176986173745</v>
      </c>
      <c r="E9" s="24">
        <f>SUMPRODUCT(('Sales Data'!A$2:A$385=A9)*'Sales Data'!E$2:E$385)</f>
        <v>7229</v>
      </c>
      <c r="F9" s="22">
        <f>SUMPRODUCT(('Sales Data'!A$2:A$385=A9)*'Sales Data'!J$2:J$385)</f>
        <v>4150167</v>
      </c>
      <c r="G9" s="22">
        <f t="shared" si="1"/>
        <v>11436144</v>
      </c>
      <c r="H9" s="23">
        <f t="shared" si="2"/>
        <v>4.7859380157760666E-2</v>
      </c>
    </row>
    <row r="10" spans="1:8" x14ac:dyDescent="0.2">
      <c r="A10" s="25" t="s">
        <v>32</v>
      </c>
      <c r="B10" s="26">
        <f>SUMPRODUCT(('Sales Data'!A$2:A$385=A10)*'Sales Data'!G$2:G$385)</f>
        <v>12262960</v>
      </c>
      <c r="C10" s="26">
        <f>SUMPRODUCT(('Sales Data'!A$2:A$385=A10)*'Sales Data'!H$2:H$385)</f>
        <v>41811761</v>
      </c>
      <c r="D10" s="27">
        <f t="shared" si="0"/>
        <v>0.29328972773952283</v>
      </c>
      <c r="E10" s="28">
        <f>SUMPRODUCT(('Sales Data'!A$2:A$385=A10)*'Sales Data'!E$2:E$385)</f>
        <v>7624</v>
      </c>
      <c r="F10" s="26">
        <f>SUMPRODUCT(('Sales Data'!A$2:A$385=A10)*'Sales Data'!J$2:J$385)</f>
        <v>3954860</v>
      </c>
      <c r="G10" s="26">
        <f t="shared" si="1"/>
        <v>8308100</v>
      </c>
      <c r="H10" s="27">
        <f t="shared" si="2"/>
        <v>-0.21322242318916901</v>
      </c>
    </row>
    <row r="11" spans="1:8" x14ac:dyDescent="0.2">
      <c r="A11" s="21" t="s">
        <v>33</v>
      </c>
      <c r="B11" s="22">
        <f>SUMPRODUCT(('Sales Data'!A$2:A$385=A11)*'Sales Data'!G$2:G$385)</f>
        <v>18462338</v>
      </c>
      <c r="C11" s="22">
        <f>SUMPRODUCT(('Sales Data'!A$2:A$385=A11)*'Sales Data'!H$2:H$385)</f>
        <v>39843393</v>
      </c>
      <c r="D11" s="23">
        <f t="shared" si="0"/>
        <v>0.46337263495606412</v>
      </c>
      <c r="E11" s="24">
        <f>SUMPRODUCT(('Sales Data'!A$2:A$385=A11)*'Sales Data'!E$2:E$385)</f>
        <v>7112</v>
      </c>
      <c r="F11" s="22">
        <f>SUMPRODUCT(('Sales Data'!A$2:A$385=A11)*'Sales Data'!J$2:J$385)</f>
        <v>3731919</v>
      </c>
      <c r="G11" s="22">
        <f t="shared" si="1"/>
        <v>14730419</v>
      </c>
      <c r="H11" s="23">
        <f t="shared" si="2"/>
        <v>0.50553683613091782</v>
      </c>
    </row>
    <row r="12" spans="1:8" x14ac:dyDescent="0.2">
      <c r="A12" s="25" t="s">
        <v>34</v>
      </c>
      <c r="B12" s="26">
        <f>SUMPRODUCT(('Sales Data'!A$2:A$385=A12)*'Sales Data'!G$2:G$385)</f>
        <v>19783721</v>
      </c>
      <c r="C12" s="26">
        <f>SUMPRODUCT(('Sales Data'!A$2:A$385=A12)*'Sales Data'!H$2:H$385)</f>
        <v>38216231</v>
      </c>
      <c r="D12" s="27">
        <f t="shared" si="0"/>
        <v>0.51767849634360852</v>
      </c>
      <c r="E12" s="28">
        <f>SUMPRODUCT(('Sales Data'!A$2:A$385=A12)*'Sales Data'!E$2:E$385)</f>
        <v>8463</v>
      </c>
      <c r="F12" s="26">
        <f>SUMPRODUCT(('Sales Data'!A$2:A$385=A12)*'Sales Data'!J$2:J$385)</f>
        <v>3890666</v>
      </c>
      <c r="G12" s="26">
        <f t="shared" si="1"/>
        <v>15893055</v>
      </c>
      <c r="H12" s="27">
        <f t="shared" si="2"/>
        <v>7.1571812844072075E-2</v>
      </c>
    </row>
    <row r="13" spans="1:8" x14ac:dyDescent="0.2">
      <c r="A13" s="21" t="s">
        <v>35</v>
      </c>
      <c r="B13" s="22">
        <f>SUMPRODUCT(('Sales Data'!A$2:A$385=A13)*'Sales Data'!G$2:G$385)</f>
        <v>14458921</v>
      </c>
      <c r="C13" s="22">
        <f>SUMPRODUCT(('Sales Data'!A$2:A$385=A13)*'Sales Data'!H$2:H$385)</f>
        <v>44394420</v>
      </c>
      <c r="D13" s="23">
        <f t="shared" si="0"/>
        <v>0.32569230547442674</v>
      </c>
      <c r="E13" s="24">
        <f>SUMPRODUCT(('Sales Data'!A$2:A$385=A13)*'Sales Data'!E$2:E$385)</f>
        <v>7381</v>
      </c>
      <c r="F13" s="22">
        <f>SUMPRODUCT(('Sales Data'!A$2:A$385=A13)*'Sales Data'!J$2:J$385)</f>
        <v>4031580</v>
      </c>
      <c r="G13" s="22">
        <f t="shared" si="1"/>
        <v>10427341</v>
      </c>
      <c r="H13" s="23">
        <f t="shared" si="2"/>
        <v>-0.26915058092458949</v>
      </c>
    </row>
    <row r="14" spans="1:8" x14ac:dyDescent="0.2">
      <c r="A14" s="25" t="s">
        <v>36</v>
      </c>
      <c r="B14" s="26">
        <f>SUMPRODUCT(('Sales Data'!A$2:A$385=A14)*'Sales Data'!G$2:G$385)</f>
        <v>14184098</v>
      </c>
      <c r="C14" s="26">
        <f>SUMPRODUCT(('Sales Data'!A$2:A$385=A14)*'Sales Data'!H$2:H$385)</f>
        <v>42574981</v>
      </c>
      <c r="D14" s="27">
        <f t="shared" si="0"/>
        <v>0.33315570945292966</v>
      </c>
      <c r="E14" s="28">
        <f>SUMPRODUCT(('Sales Data'!A$2:A$385=A14)*'Sales Data'!E$2:E$385)</f>
        <v>7534</v>
      </c>
      <c r="F14" s="26">
        <f>SUMPRODUCT(('Sales Data'!A$2:A$385=A14)*'Sales Data'!J$2:J$385)</f>
        <v>4060669</v>
      </c>
      <c r="G14" s="26">
        <f t="shared" si="1"/>
        <v>10123429</v>
      </c>
      <c r="H14" s="27">
        <f t="shared" si="2"/>
        <v>-1.9007158279653096E-2</v>
      </c>
    </row>
    <row r="15" spans="1:8" x14ac:dyDescent="0.2">
      <c r="A15" s="21" t="s">
        <v>37</v>
      </c>
      <c r="B15" s="22">
        <f>SUMPRODUCT(('Sales Data'!A$2:A$385=A15)*'Sales Data'!G$2:G$385)</f>
        <v>13809449</v>
      </c>
      <c r="C15" s="22">
        <f>SUMPRODUCT(('Sales Data'!A$2:A$385=A15)*'Sales Data'!H$2:H$385)</f>
        <v>36236684</v>
      </c>
      <c r="D15" s="23">
        <f t="shared" si="0"/>
        <v>0.38109030616598361</v>
      </c>
      <c r="E15" s="24">
        <f>SUMPRODUCT(('Sales Data'!A$2:A$385=A15)*'Sales Data'!E$2:E$385)</f>
        <v>7205</v>
      </c>
      <c r="F15" s="22">
        <f>SUMPRODUCT(('Sales Data'!A$2:A$385=A15)*'Sales Data'!J$2:J$385)</f>
        <v>4068949</v>
      </c>
      <c r="G15" s="22">
        <f t="shared" si="1"/>
        <v>9740500</v>
      </c>
      <c r="H15" s="23">
        <f t="shared" si="2"/>
        <v>-2.6413311583154599E-2</v>
      </c>
    </row>
    <row r="16" spans="1:8" x14ac:dyDescent="0.2">
      <c r="A16" s="25" t="s">
        <v>38</v>
      </c>
      <c r="B16" s="26">
        <f>SUMPRODUCT(('Sales Data'!A$2:A$385=A16)*'Sales Data'!G$2:G$385)</f>
        <v>16281210</v>
      </c>
      <c r="C16" s="26">
        <f>SUMPRODUCT(('Sales Data'!A$2:A$385=A16)*'Sales Data'!H$2:H$385)</f>
        <v>41458521</v>
      </c>
      <c r="D16" s="27">
        <f t="shared" si="0"/>
        <v>0.39271082535722873</v>
      </c>
      <c r="E16" s="28">
        <f>SUMPRODUCT(('Sales Data'!A$2:A$385=A16)*'Sales Data'!E$2:E$385)</f>
        <v>6277</v>
      </c>
      <c r="F16" s="26">
        <f>SUMPRODUCT(('Sales Data'!A$2:A$385=A16)*'Sales Data'!J$2:J$385)</f>
        <v>4156699</v>
      </c>
      <c r="G16" s="26">
        <f t="shared" si="1"/>
        <v>12124511</v>
      </c>
      <c r="H16" s="27">
        <f t="shared" si="2"/>
        <v>0.17899055929023672</v>
      </c>
    </row>
    <row r="17" spans="1:8" x14ac:dyDescent="0.2">
      <c r="A17" s="29" t="s">
        <v>45</v>
      </c>
      <c r="B17" s="30">
        <f>SUM(B5:B16)</f>
        <v>187933992</v>
      </c>
      <c r="C17" s="30">
        <f>SUM(C5:C16)</f>
        <v>485078188</v>
      </c>
      <c r="D17" s="31">
        <f t="shared" si="0"/>
        <v>0.38743030845163462</v>
      </c>
      <c r="E17" s="32">
        <f>SUM(E5:E16)</f>
        <v>88259</v>
      </c>
      <c r="F17" s="30">
        <f>SUM(F5:F16)</f>
        <v>47630245</v>
      </c>
      <c r="G17" s="30">
        <f>SUM(G5:G16)</f>
        <v>140303747</v>
      </c>
      <c r="H17" s="33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7" width="16" customWidth="1"/>
  </cols>
  <sheetData>
    <row r="1" spans="1:7" ht="36" customHeight="1" x14ac:dyDescent="0.2">
      <c r="A1" s="86" t="s">
        <v>46</v>
      </c>
      <c r="B1" s="86"/>
      <c r="C1" s="86"/>
      <c r="D1" s="86"/>
      <c r="E1" s="86"/>
      <c r="F1" s="86"/>
      <c r="G1" s="86"/>
    </row>
    <row r="3" spans="1:7" ht="27.75" customHeight="1" x14ac:dyDescent="0.2">
      <c r="A3" s="20" t="s">
        <v>1</v>
      </c>
      <c r="B3" s="20" t="s">
        <v>6</v>
      </c>
      <c r="C3" s="20" t="s">
        <v>7</v>
      </c>
      <c r="D3" s="20" t="s">
        <v>8</v>
      </c>
      <c r="E3" s="20" t="s">
        <v>4</v>
      </c>
      <c r="F3" s="20" t="s">
        <v>9</v>
      </c>
      <c r="G3" s="20" t="s">
        <v>10</v>
      </c>
    </row>
    <row r="4" spans="1:7" x14ac:dyDescent="0.2">
      <c r="A4" s="34" t="s">
        <v>12</v>
      </c>
      <c r="B4" s="35">
        <f>SUMPRODUCT(('Sales Data'!B$2:B$385=A4)*'Sales Data'!G$2:G$385)</f>
        <v>49112161</v>
      </c>
      <c r="C4" s="35">
        <f>SUMPRODUCT(('Sales Data'!B$2:B$385=A4)*'Sales Data'!H$2:H$385)</f>
        <v>122547577</v>
      </c>
      <c r="D4" s="36">
        <f>IF(C4=0,0,B4/C4)</f>
        <v>0.40075995137790443</v>
      </c>
      <c r="E4" s="37">
        <f>SUMPRODUCT(('Sales Data'!B$2:B$385=A4)*'Sales Data'!E$2:E$385)</f>
        <v>21463</v>
      </c>
      <c r="F4" s="35">
        <f>SUMPRODUCT(('Sales Data'!B$2:B$385=A4)*'Sales Data'!J$2:J$385)</f>
        <v>11985678</v>
      </c>
      <c r="G4" s="35">
        <f>B4-F4</f>
        <v>37126483</v>
      </c>
    </row>
    <row r="5" spans="1:7" x14ac:dyDescent="0.2">
      <c r="A5" s="38" t="s">
        <v>19</v>
      </c>
      <c r="B5" s="39">
        <f>SUMPRODUCT(('Sales Data'!B$2:B$385=A5)*'Sales Data'!G$2:G$385)</f>
        <v>40462753</v>
      </c>
      <c r="C5" s="39">
        <f>SUMPRODUCT(('Sales Data'!B$2:B$385=A5)*'Sales Data'!H$2:H$385)</f>
        <v>118744399</v>
      </c>
      <c r="D5" s="40">
        <f>IF(C5=0,0,B5/C5)</f>
        <v>0.34075504479162844</v>
      </c>
      <c r="E5" s="41">
        <f>SUMPRODUCT(('Sales Data'!B$2:B$385=A5)*'Sales Data'!E$2:E$385)</f>
        <v>21773</v>
      </c>
      <c r="F5" s="39">
        <f>SUMPRODUCT(('Sales Data'!B$2:B$385=A5)*'Sales Data'!J$2:J$385)</f>
        <v>11263677</v>
      </c>
      <c r="G5" s="39">
        <f>B5-F5</f>
        <v>29199076</v>
      </c>
    </row>
    <row r="6" spans="1:7" x14ac:dyDescent="0.2">
      <c r="A6" s="42" t="s">
        <v>22</v>
      </c>
      <c r="B6" s="43">
        <f>SUMPRODUCT(('Sales Data'!B$2:B$385=A6)*'Sales Data'!G$2:G$385)</f>
        <v>50750453</v>
      </c>
      <c r="C6" s="43">
        <f>SUMPRODUCT(('Sales Data'!B$2:B$385=A6)*'Sales Data'!H$2:H$385)</f>
        <v>120904785</v>
      </c>
      <c r="D6" s="44">
        <f>IF(C6=0,0,B6/C6)</f>
        <v>0.41975553738423171</v>
      </c>
      <c r="E6" s="45">
        <f>SUMPRODUCT(('Sales Data'!B$2:B$385=A6)*'Sales Data'!E$2:E$385)</f>
        <v>23093</v>
      </c>
      <c r="F6" s="43">
        <f>SUMPRODUCT(('Sales Data'!B$2:B$385=A6)*'Sales Data'!J$2:J$385)</f>
        <v>11872925</v>
      </c>
      <c r="G6" s="43">
        <f>B6-F6</f>
        <v>38877528</v>
      </c>
    </row>
    <row r="7" spans="1:7" x14ac:dyDescent="0.2">
      <c r="A7" s="46" t="s">
        <v>25</v>
      </c>
      <c r="B7" s="47">
        <f>SUMPRODUCT(('Sales Data'!B$2:B$385=A7)*'Sales Data'!G$2:G$385)</f>
        <v>47608625</v>
      </c>
      <c r="C7" s="47">
        <f>SUMPRODUCT(('Sales Data'!B$2:B$385=A7)*'Sales Data'!H$2:H$385)</f>
        <v>122881427</v>
      </c>
      <c r="D7" s="48">
        <f>IF(C7=0,0,B7/C7)</f>
        <v>0.3874354828252442</v>
      </c>
      <c r="E7" s="49">
        <f>SUMPRODUCT(('Sales Data'!B$2:B$385=A7)*'Sales Data'!E$2:E$385)</f>
        <v>21930</v>
      </c>
      <c r="F7" s="47">
        <f>SUMPRODUCT(('Sales Data'!B$2:B$385=A7)*'Sales Data'!J$2:J$385)</f>
        <v>12507965</v>
      </c>
      <c r="G7" s="47">
        <f>B7-F7</f>
        <v>35100660</v>
      </c>
    </row>
    <row r="8" spans="1:7" x14ac:dyDescent="0.2">
      <c r="A8" s="29" t="s">
        <v>45</v>
      </c>
      <c r="B8" s="30">
        <f>SUM(B4:B7)</f>
        <v>187933992</v>
      </c>
      <c r="C8" s="30">
        <f>SUM(C4:C7)</f>
        <v>485078188</v>
      </c>
      <c r="D8" s="50">
        <f>IF(C8=0,0,B8/C8)</f>
        <v>0.38743030845163462</v>
      </c>
      <c r="E8" s="32">
        <f>SUM(E4:E7)</f>
        <v>88259</v>
      </c>
      <c r="F8" s="30">
        <f>SUM(F4:F7)</f>
        <v>47630245</v>
      </c>
      <c r="G8" s="30">
        <f>SUM(G4:G7)</f>
        <v>140303747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workbookViewId="0"/>
  </sheetViews>
  <sheetFormatPr baseColWidth="10" defaultColWidth="8.6640625" defaultRowHeight="15" x14ac:dyDescent="0.2"/>
  <cols>
    <col min="1" max="1" width="8" customWidth="1"/>
    <col min="2" max="2" width="20" customWidth="1"/>
    <col min="3" max="3" width="10" customWidth="1"/>
    <col min="4" max="6" width="16" customWidth="1"/>
  </cols>
  <sheetData>
    <row r="1" spans="1:6" ht="36" customHeight="1" x14ac:dyDescent="0.2">
      <c r="A1" s="86" t="s">
        <v>47</v>
      </c>
      <c r="B1" s="86"/>
      <c r="C1" s="86"/>
      <c r="D1" s="86"/>
      <c r="E1" s="86"/>
      <c r="F1" s="86"/>
    </row>
    <row r="3" spans="1:6" ht="27.75" customHeight="1" x14ac:dyDescent="0.2">
      <c r="A3" s="20" t="s">
        <v>48</v>
      </c>
      <c r="B3" s="20" t="s">
        <v>2</v>
      </c>
      <c r="C3" s="20" t="s">
        <v>1</v>
      </c>
      <c r="D3" s="20" t="s">
        <v>6</v>
      </c>
      <c r="E3" s="20" t="s">
        <v>8</v>
      </c>
      <c r="F3" s="20" t="s">
        <v>10</v>
      </c>
    </row>
    <row r="4" spans="1:6" x14ac:dyDescent="0.2">
      <c r="A4" s="51">
        <v>1</v>
      </c>
      <c r="B4" s="52" t="s">
        <v>13</v>
      </c>
      <c r="C4" s="51" t="s">
        <v>12</v>
      </c>
      <c r="D4" s="53">
        <f>SUMPRODUCT(('Sales Data'!C$2:C$385=B4)*'Sales Data'!G$2:G$385)</f>
        <v>24263774</v>
      </c>
      <c r="E4" s="54">
        <f>SUMPRODUCT(('Sales Data'!C$2:C$385=B4)*'Sales Data'!G$2:G$385)/SUMPRODUCT(('Sales Data'!C$2:C$385=B4)*'Sales Data'!H$2:H$385)</f>
        <v>0.40593442033558996</v>
      </c>
      <c r="F4" s="53">
        <f>SUMPRODUCT(('Sales Data'!C$2:C$385=B4)*'Sales Data'!K$2:K$385)</f>
        <v>18410424</v>
      </c>
    </row>
    <row r="5" spans="1:6" x14ac:dyDescent="0.2">
      <c r="A5" s="55">
        <v>2</v>
      </c>
      <c r="B5" s="56" t="s">
        <v>18</v>
      </c>
      <c r="C5" s="55" t="s">
        <v>12</v>
      </c>
      <c r="D5" s="57">
        <f>SUMPRODUCT(('Sales Data'!C$2:C$385=B5)*'Sales Data'!G$2:G$385)</f>
        <v>24848387</v>
      </c>
      <c r="E5" s="58">
        <f>SUMPRODUCT(('Sales Data'!C$2:C$385=B5)*'Sales Data'!G$2:G$385)/SUMPRODUCT(('Sales Data'!C$2:C$385=B5)*'Sales Data'!H$2:H$385)</f>
        <v>0.39583295765258653</v>
      </c>
      <c r="F5" s="57">
        <f>SUMPRODUCT(('Sales Data'!C$2:C$385=B5)*'Sales Data'!K$2:K$385)</f>
        <v>18716059</v>
      </c>
    </row>
    <row r="6" spans="1:6" x14ac:dyDescent="0.2">
      <c r="A6" s="59">
        <v>3</v>
      </c>
      <c r="B6" s="60" t="s">
        <v>20</v>
      </c>
      <c r="C6" s="59" t="s">
        <v>19</v>
      </c>
      <c r="D6" s="61">
        <f>SUMPRODUCT(('Sales Data'!C$2:C$385=B6)*'Sales Data'!G$2:G$385)</f>
        <v>14635025</v>
      </c>
      <c r="E6" s="62">
        <f>SUMPRODUCT(('Sales Data'!C$2:C$385=B6)*'Sales Data'!G$2:G$385)/SUMPRODUCT(('Sales Data'!C$2:C$385=B6)*'Sales Data'!H$2:H$385)</f>
        <v>0.24812865788870864</v>
      </c>
      <c r="F6" s="61">
        <f>SUMPRODUCT(('Sales Data'!C$2:C$385=B6)*'Sales Data'!K$2:K$385)</f>
        <v>8993944</v>
      </c>
    </row>
    <row r="7" spans="1:6" x14ac:dyDescent="0.2">
      <c r="A7" s="25">
        <v>4</v>
      </c>
      <c r="B7" s="63" t="s">
        <v>21</v>
      </c>
      <c r="C7" s="25" t="s">
        <v>19</v>
      </c>
      <c r="D7" s="64">
        <f>SUMPRODUCT(('Sales Data'!C$2:C$385=B7)*'Sales Data'!G$2:G$385)</f>
        <v>25827728</v>
      </c>
      <c r="E7" s="65">
        <f>SUMPRODUCT(('Sales Data'!C$2:C$385=B7)*'Sales Data'!G$2:G$385)/SUMPRODUCT(('Sales Data'!C$2:C$385=B7)*'Sales Data'!H$2:H$385)</f>
        <v>0.4321706479616082</v>
      </c>
      <c r="F7" s="64">
        <f>SUMPRODUCT(('Sales Data'!C$2:C$385=B7)*'Sales Data'!K$2:K$385)</f>
        <v>20205132</v>
      </c>
    </row>
    <row r="8" spans="1:6" x14ac:dyDescent="0.2">
      <c r="A8" s="25">
        <v>5</v>
      </c>
      <c r="B8" s="63" t="s">
        <v>23</v>
      </c>
      <c r="C8" s="25" t="s">
        <v>22</v>
      </c>
      <c r="D8" s="64">
        <f>SUMPRODUCT(('Sales Data'!C$2:C$385=B8)*'Sales Data'!G$2:G$385)</f>
        <v>24648676</v>
      </c>
      <c r="E8" s="65">
        <f>SUMPRODUCT(('Sales Data'!C$2:C$385=B8)*'Sales Data'!G$2:G$385)/SUMPRODUCT(('Sales Data'!C$2:C$385=B8)*'Sales Data'!H$2:H$385)</f>
        <v>0.40961269894827412</v>
      </c>
      <c r="F8" s="64">
        <f>SUMPRODUCT(('Sales Data'!C$2:C$385=B8)*'Sales Data'!K$2:K$385)</f>
        <v>19070340</v>
      </c>
    </row>
    <row r="9" spans="1:6" x14ac:dyDescent="0.2">
      <c r="A9" s="25">
        <v>6</v>
      </c>
      <c r="B9" s="63" t="s">
        <v>24</v>
      </c>
      <c r="C9" s="25" t="s">
        <v>22</v>
      </c>
      <c r="D9" s="64">
        <f>SUMPRODUCT(('Sales Data'!C$2:C$385=B9)*'Sales Data'!G$2:G$385)</f>
        <v>26101777</v>
      </c>
      <c r="E9" s="65">
        <f>SUMPRODUCT(('Sales Data'!C$2:C$385=B9)*'Sales Data'!G$2:G$385)/SUMPRODUCT(('Sales Data'!C$2:C$385=B9)*'Sales Data'!H$2:H$385)</f>
        <v>0.42980590611580233</v>
      </c>
      <c r="F9" s="64">
        <f>SUMPRODUCT(('Sales Data'!C$2:C$385=B9)*'Sales Data'!K$2:K$385)</f>
        <v>19807188</v>
      </c>
    </row>
    <row r="10" spans="1:6" x14ac:dyDescent="0.2">
      <c r="A10" s="25">
        <v>7</v>
      </c>
      <c r="B10" s="63" t="s">
        <v>26</v>
      </c>
      <c r="C10" s="25" t="s">
        <v>25</v>
      </c>
      <c r="D10" s="64">
        <f>SUMPRODUCT(('Sales Data'!C$2:C$385=B10)*'Sales Data'!G$2:G$385)</f>
        <v>27579253</v>
      </c>
      <c r="E10" s="65">
        <f>SUMPRODUCT(('Sales Data'!C$2:C$385=B10)*'Sales Data'!G$2:G$385)/SUMPRODUCT(('Sales Data'!C$2:C$385=B10)*'Sales Data'!H$2:H$385)</f>
        <v>0.46669287076533494</v>
      </c>
      <c r="F10" s="64">
        <f>SUMPRODUCT(('Sales Data'!C$2:C$385=B10)*'Sales Data'!K$2:K$385)</f>
        <v>21228651</v>
      </c>
    </row>
    <row r="11" spans="1:6" x14ac:dyDescent="0.2">
      <c r="A11" s="25">
        <v>8</v>
      </c>
      <c r="B11" s="63" t="s">
        <v>27</v>
      </c>
      <c r="C11" s="25" t="s">
        <v>25</v>
      </c>
      <c r="D11" s="64">
        <f>SUMPRODUCT(('Sales Data'!C$2:C$385=B11)*'Sales Data'!G$2:G$385)</f>
        <v>20029372</v>
      </c>
      <c r="E11" s="65">
        <f>SUMPRODUCT(('Sales Data'!C$2:C$385=B11)*'Sales Data'!G$2:G$385)/SUMPRODUCT(('Sales Data'!C$2:C$385=B11)*'Sales Data'!H$2:H$385)</f>
        <v>0.3140072014785108</v>
      </c>
      <c r="F11" s="64">
        <f>SUMPRODUCT(('Sales Data'!C$2:C$385=B11)*'Sales Data'!K$2:K$385)</f>
        <v>13872009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zoomScaleNormal="100" workbookViewId="0"/>
  </sheetViews>
  <sheetFormatPr baseColWidth="10" defaultColWidth="8.6640625" defaultRowHeight="15" x14ac:dyDescent="0.2"/>
  <cols>
    <col min="1" max="6" width="18" customWidth="1"/>
  </cols>
  <sheetData>
    <row r="1" spans="1:6" ht="36" customHeight="1" x14ac:dyDescent="0.2">
      <c r="A1" s="86" t="s">
        <v>49</v>
      </c>
      <c r="B1" s="86"/>
      <c r="C1" s="86"/>
      <c r="D1" s="86"/>
      <c r="E1" s="86"/>
      <c r="F1" s="86"/>
    </row>
    <row r="3" spans="1:6" ht="27.75" customHeight="1" x14ac:dyDescent="0.2">
      <c r="A3" s="20" t="s">
        <v>3</v>
      </c>
      <c r="B3" s="20" t="s">
        <v>6</v>
      </c>
      <c r="C3" s="20" t="s">
        <v>4</v>
      </c>
      <c r="D3" s="20" t="s">
        <v>50</v>
      </c>
      <c r="E3" s="20" t="s">
        <v>9</v>
      </c>
      <c r="F3" s="20" t="s">
        <v>10</v>
      </c>
    </row>
    <row r="4" spans="1:6" x14ac:dyDescent="0.2">
      <c r="A4" s="66" t="s">
        <v>14</v>
      </c>
      <c r="B4" s="67">
        <f>SUMPRODUCT(('Sales Data'!D$2:D$385=A4)*'Sales Data'!G$2:G$385)</f>
        <v>44224918</v>
      </c>
      <c r="C4" s="68">
        <f>SUMPRODUCT(('Sales Data'!D$2:D$385=A4)*'Sales Data'!E$2:E$385)</f>
        <v>22174</v>
      </c>
      <c r="D4" s="67">
        <f>IF(C4=0,0,B4/C4)</f>
        <v>1994.4492649048434</v>
      </c>
      <c r="E4" s="67">
        <f>SUMPRODUCT(('Sales Data'!D$2:D$385=A4)*'Sales Data'!J$2:J$385)</f>
        <v>12118324</v>
      </c>
      <c r="F4" s="67">
        <f>B4-E4</f>
        <v>32106594</v>
      </c>
    </row>
    <row r="5" spans="1:6" x14ac:dyDescent="0.2">
      <c r="A5" s="69" t="s">
        <v>15</v>
      </c>
      <c r="B5" s="70">
        <f>SUMPRODUCT(('Sales Data'!D$2:D$385=A5)*'Sales Data'!G$2:G$385)</f>
        <v>51792878</v>
      </c>
      <c r="C5" s="71">
        <f>SUMPRODUCT(('Sales Data'!D$2:D$385=A5)*'Sales Data'!E$2:E$385)</f>
        <v>22817</v>
      </c>
      <c r="D5" s="70">
        <f>IF(C5=0,0,B5/C5)</f>
        <v>2269.9249682254458</v>
      </c>
      <c r="E5" s="70">
        <f>SUMPRODUCT(('Sales Data'!D$2:D$385=A5)*'Sales Data'!J$2:J$385)</f>
        <v>11397426</v>
      </c>
      <c r="F5" s="70">
        <f>B5-E5</f>
        <v>40395452</v>
      </c>
    </row>
    <row r="6" spans="1:6" x14ac:dyDescent="0.2">
      <c r="A6" s="72" t="s">
        <v>16</v>
      </c>
      <c r="B6" s="73">
        <f>SUMPRODUCT(('Sales Data'!D$2:D$385=A6)*'Sales Data'!G$2:G$385)</f>
        <v>48276413</v>
      </c>
      <c r="C6" s="74">
        <f>SUMPRODUCT(('Sales Data'!D$2:D$385=A6)*'Sales Data'!E$2:E$385)</f>
        <v>21758</v>
      </c>
      <c r="D6" s="73">
        <f>IF(C6=0,0,B6/C6)</f>
        <v>2218.7890890706867</v>
      </c>
      <c r="E6" s="73">
        <f>SUMPRODUCT(('Sales Data'!D$2:D$385=A6)*'Sales Data'!J$2:J$385)</f>
        <v>12028058</v>
      </c>
      <c r="F6" s="73">
        <f>B6-E6</f>
        <v>36248355</v>
      </c>
    </row>
    <row r="7" spans="1:6" x14ac:dyDescent="0.2">
      <c r="A7" s="75" t="s">
        <v>17</v>
      </c>
      <c r="B7" s="76">
        <f>SUMPRODUCT(('Sales Data'!D$2:D$385=A7)*'Sales Data'!G$2:G$385)</f>
        <v>43639783</v>
      </c>
      <c r="C7" s="77">
        <f>SUMPRODUCT(('Sales Data'!D$2:D$385=A7)*'Sales Data'!E$2:E$385)</f>
        <v>21510</v>
      </c>
      <c r="D7" s="76">
        <f>IF(C7=0,0,B7/C7)</f>
        <v>2028.8137145513715</v>
      </c>
      <c r="E7" s="76">
        <f>SUMPRODUCT(('Sales Data'!D$2:D$385=A7)*'Sales Data'!J$2:J$385)</f>
        <v>12086437</v>
      </c>
      <c r="F7" s="76">
        <f>B7-E7</f>
        <v>31553346</v>
      </c>
    </row>
    <row r="8" spans="1:6" x14ac:dyDescent="0.2">
      <c r="A8" s="29" t="s">
        <v>45</v>
      </c>
      <c r="B8" s="30">
        <f>SUM(B4:B7)</f>
        <v>187933992</v>
      </c>
      <c r="C8" s="32">
        <f>SUM(C4:C7)</f>
        <v>88259</v>
      </c>
      <c r="D8" s="30">
        <f>IF(C8=0,0,B8/C8)</f>
        <v>2129.34649157593</v>
      </c>
      <c r="E8" s="30">
        <f>SUM(E4:E7)</f>
        <v>47630245</v>
      </c>
      <c r="F8" s="30">
        <f>SUM(F4:F7)</f>
        <v>140303747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tabSelected="1" zoomScaleNormal="100" workbookViewId="0">
      <selection activeCell="B3" sqref="B1:B1048576"/>
    </sheetView>
  </sheetViews>
  <sheetFormatPr baseColWidth="10" defaultColWidth="8.6640625" defaultRowHeight="15" x14ac:dyDescent="0.2"/>
  <cols>
    <col min="1" max="12" width="13" customWidth="1"/>
  </cols>
  <sheetData>
    <row r="1" spans="1:12" ht="42" customHeight="1" x14ac:dyDescent="0.2">
      <c r="A1" s="14" t="s">
        <v>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2">
      <c r="A2" s="13" t="s">
        <v>52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34.5" customHeight="1" x14ac:dyDescent="0.2">
      <c r="A4" s="12">
        <f>'Monthly Summary'!B17</f>
        <v>187933992</v>
      </c>
      <c r="B4" s="12"/>
      <c r="C4" s="12"/>
      <c r="D4" s="11">
        <f>'Monthly Summary'!C17</f>
        <v>485078188</v>
      </c>
      <c r="E4" s="11"/>
      <c r="F4" s="11"/>
      <c r="G4" s="10">
        <f>'Monthly Summary'!D17</f>
        <v>0.38743030845163462</v>
      </c>
      <c r="H4" s="10"/>
      <c r="I4" s="10"/>
      <c r="J4" s="9">
        <f>'Monthly Summary'!G17</f>
        <v>140303747</v>
      </c>
      <c r="K4" s="9"/>
      <c r="L4" s="9"/>
    </row>
    <row r="5" spans="1:12" x14ac:dyDescent="0.2">
      <c r="A5" s="12"/>
      <c r="B5" s="12"/>
      <c r="C5" s="12"/>
      <c r="D5" s="11"/>
      <c r="E5" s="11"/>
      <c r="F5" s="11"/>
      <c r="G5" s="10"/>
      <c r="H5" s="10"/>
      <c r="I5" s="10"/>
      <c r="J5" s="9"/>
      <c r="K5" s="9"/>
      <c r="L5" s="9"/>
    </row>
    <row r="6" spans="1:12" x14ac:dyDescent="0.2">
      <c r="A6" s="12"/>
      <c r="B6" s="12"/>
      <c r="C6" s="12"/>
      <c r="D6" s="11"/>
      <c r="E6" s="11"/>
      <c r="F6" s="11"/>
      <c r="G6" s="10"/>
      <c r="H6" s="10"/>
      <c r="I6" s="10"/>
      <c r="J6" s="9"/>
      <c r="K6" s="9"/>
      <c r="L6" s="9"/>
    </row>
    <row r="7" spans="1:12" x14ac:dyDescent="0.2">
      <c r="A7" s="12"/>
      <c r="B7" s="12"/>
      <c r="C7" s="12"/>
      <c r="D7" s="11"/>
      <c r="E7" s="11"/>
      <c r="F7" s="11"/>
      <c r="G7" s="10"/>
      <c r="H7" s="10"/>
      <c r="I7" s="10"/>
      <c r="J7" s="9"/>
      <c r="K7" s="9"/>
      <c r="L7" s="9"/>
    </row>
    <row r="8" spans="1:12" ht="21.75" customHeight="1" x14ac:dyDescent="0.2">
      <c r="A8" s="8" t="s">
        <v>53</v>
      </c>
      <c r="B8" s="8"/>
      <c r="C8" s="8"/>
      <c r="D8" s="87" t="s">
        <v>54</v>
      </c>
      <c r="E8" s="7"/>
      <c r="F8" s="7"/>
      <c r="G8" s="6" t="s">
        <v>55</v>
      </c>
      <c r="H8" s="6"/>
      <c r="I8" s="6"/>
      <c r="J8" s="5" t="s">
        <v>56</v>
      </c>
      <c r="K8" s="5"/>
      <c r="L8" s="5"/>
    </row>
    <row r="10" spans="1:12" ht="34.5" customHeight="1" x14ac:dyDescent="0.2">
      <c r="A10" s="4">
        <f>'Monthly Summary'!E17</f>
        <v>88259</v>
      </c>
      <c r="B10" s="4"/>
      <c r="C10" s="4"/>
      <c r="D10" s="3">
        <f>'Monthly Summary'!F17</f>
        <v>47630245</v>
      </c>
      <c r="E10" s="3"/>
      <c r="F10" s="3"/>
      <c r="G10" s="2" t="str">
        <f>INDEX('Regional Summary'!A4:A7,MATCH(MAX('Regional Summary'!B4:B7),'Regional Summary'!B4:B7,0))</f>
        <v>East</v>
      </c>
      <c r="H10" s="2"/>
      <c r="I10" s="2"/>
      <c r="J10" s="1" t="str">
        <f>INDEX('Product Analysis'!A4:A7,MATCH(MAX('Product Analysis'!B4:B7),'Product Analysis'!B4:B7,0))</f>
        <v>Product B</v>
      </c>
      <c r="K10" s="1"/>
      <c r="L10" s="1"/>
    </row>
    <row r="11" spans="1:12" x14ac:dyDescent="0.2">
      <c r="A11" s="4"/>
      <c r="B11" s="4"/>
      <c r="C11" s="4"/>
      <c r="D11" s="3"/>
      <c r="E11" s="3"/>
      <c r="F11" s="3"/>
      <c r="G11" s="2"/>
      <c r="H11" s="2"/>
      <c r="I11" s="2"/>
      <c r="J11" s="1"/>
      <c r="K11" s="1"/>
      <c r="L11" s="1"/>
    </row>
    <row r="12" spans="1:12" x14ac:dyDescent="0.2">
      <c r="A12" s="4"/>
      <c r="B12" s="4"/>
      <c r="C12" s="4"/>
      <c r="D12" s="3"/>
      <c r="E12" s="3"/>
      <c r="F12" s="3"/>
      <c r="G12" s="2"/>
      <c r="H12" s="2"/>
      <c r="I12" s="2"/>
      <c r="J12" s="1"/>
      <c r="K12" s="1"/>
      <c r="L12" s="1"/>
    </row>
    <row r="13" spans="1:12" x14ac:dyDescent="0.2">
      <c r="A13" s="4"/>
      <c r="B13" s="4"/>
      <c r="C13" s="4"/>
      <c r="D13" s="3"/>
      <c r="E13" s="3"/>
      <c r="F13" s="3"/>
      <c r="G13" s="2"/>
      <c r="H13" s="2"/>
      <c r="I13" s="2"/>
      <c r="J13" s="1"/>
      <c r="K13" s="1"/>
      <c r="L13" s="1"/>
    </row>
    <row r="14" spans="1:12" ht="21.75" customHeight="1" x14ac:dyDescent="0.2">
      <c r="A14" s="81" t="s">
        <v>4</v>
      </c>
      <c r="B14" s="81"/>
      <c r="C14" s="81"/>
      <c r="D14" s="82" t="s">
        <v>57</v>
      </c>
      <c r="E14" s="82"/>
      <c r="F14" s="82"/>
      <c r="G14" s="83" t="s">
        <v>58</v>
      </c>
      <c r="H14" s="83"/>
      <c r="I14" s="83"/>
      <c r="J14" s="84" t="s">
        <v>59</v>
      </c>
      <c r="K14" s="84"/>
      <c r="L14" s="84"/>
    </row>
    <row r="16" spans="1:12" ht="24" customHeight="1" x14ac:dyDescent="0.2">
      <c r="A16" s="85" t="s">
        <v>60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</row>
    <row r="17" spans="1:5" ht="24" customHeight="1" x14ac:dyDescent="0.2">
      <c r="A17" s="15" t="s">
        <v>1</v>
      </c>
      <c r="B17" s="15" t="s">
        <v>6</v>
      </c>
      <c r="C17" s="15" t="s">
        <v>7</v>
      </c>
      <c r="D17" s="15" t="s">
        <v>8</v>
      </c>
      <c r="E17" s="15" t="s">
        <v>10</v>
      </c>
    </row>
    <row r="18" spans="1:5" x14ac:dyDescent="0.2">
      <c r="A18" s="78" t="s">
        <v>12</v>
      </c>
      <c r="B18" s="79">
        <f>'Regional Summary'!B4</f>
        <v>49112161</v>
      </c>
      <c r="C18" s="79">
        <f>'Regional Summary'!C4</f>
        <v>122547577</v>
      </c>
      <c r="D18" s="23">
        <f>'Regional Summary'!D4</f>
        <v>0.40075995137790443</v>
      </c>
      <c r="E18" s="79">
        <f>'Regional Summary'!G4</f>
        <v>37126483</v>
      </c>
    </row>
    <row r="19" spans="1:5" x14ac:dyDescent="0.2">
      <c r="A19" s="80" t="s">
        <v>19</v>
      </c>
      <c r="B19" s="64">
        <f>'Regional Summary'!B5</f>
        <v>40462753</v>
      </c>
      <c r="C19" s="64">
        <f>'Regional Summary'!C5</f>
        <v>118744399</v>
      </c>
      <c r="D19" s="27">
        <f>'Regional Summary'!D5</f>
        <v>0.34075504479162844</v>
      </c>
      <c r="E19" s="64">
        <f>'Regional Summary'!G5</f>
        <v>29199076</v>
      </c>
    </row>
    <row r="20" spans="1:5" x14ac:dyDescent="0.2">
      <c r="A20" s="78" t="s">
        <v>22</v>
      </c>
      <c r="B20" s="79">
        <f>'Regional Summary'!B6</f>
        <v>50750453</v>
      </c>
      <c r="C20" s="79">
        <f>'Regional Summary'!C6</f>
        <v>120904785</v>
      </c>
      <c r="D20" s="23">
        <f>'Regional Summary'!D6</f>
        <v>0.41975553738423171</v>
      </c>
      <c r="E20" s="79">
        <f>'Regional Summary'!G6</f>
        <v>38877528</v>
      </c>
    </row>
    <row r="21" spans="1:5" x14ac:dyDescent="0.2">
      <c r="A21" s="80" t="s">
        <v>25</v>
      </c>
      <c r="B21" s="64">
        <f>'Regional Summary'!B7</f>
        <v>47608625</v>
      </c>
      <c r="C21" s="64">
        <f>'Regional Summary'!C7</f>
        <v>122881427</v>
      </c>
      <c r="D21" s="27">
        <f>'Regional Summary'!D7</f>
        <v>0.3874354828252442</v>
      </c>
      <c r="E21" s="64">
        <f>'Regional Summary'!G7</f>
        <v>35100660</v>
      </c>
    </row>
  </sheetData>
  <mergeCells count="19">
    <mergeCell ref="A14:C14"/>
    <mergeCell ref="D14:F14"/>
    <mergeCell ref="G14:I14"/>
    <mergeCell ref="J14:L14"/>
    <mergeCell ref="A16:L16"/>
    <mergeCell ref="A8:C8"/>
    <mergeCell ref="D8:F8"/>
    <mergeCell ref="G8:I8"/>
    <mergeCell ref="J8:L8"/>
    <mergeCell ref="A10:C13"/>
    <mergeCell ref="D10:F13"/>
    <mergeCell ref="G10:I13"/>
    <mergeCell ref="J10:L13"/>
    <mergeCell ref="A1:L1"/>
    <mergeCell ref="A2:L2"/>
    <mergeCell ref="A4:C7"/>
    <mergeCell ref="D4:F7"/>
    <mergeCell ref="G4:I7"/>
    <mergeCell ref="J4:L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Data</vt:lpstr>
      <vt:lpstr>Monthly Summary</vt:lpstr>
      <vt:lpstr>Regional Summary</vt:lpstr>
      <vt:lpstr>Rep Leaderboard</vt:lpstr>
      <vt:lpstr>Product Analysis</vt:lpstr>
      <vt:lpstr>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Sudhakar A</cp:lastModifiedBy>
  <cp:revision>1</cp:revision>
  <dcterms:created xsi:type="dcterms:W3CDTF">2026-04-05T14:15:05Z</dcterms:created>
  <dcterms:modified xsi:type="dcterms:W3CDTF">2026-04-05T14:18:47Z</dcterms:modified>
  <dc:language>en-US</dc:language>
</cp:coreProperties>
</file>