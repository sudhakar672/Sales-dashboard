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Raw Data" sheetId="2" state="visible" r:id="rId4"/>
    <sheet name="Monthly Analysis" sheetId="3" state="visible" r:id="rId5"/>
    <sheet name="Regional Analysis" sheetId="4" state="visible" r:id="rId6"/>
    <sheet name="Product Analysis" sheetId="5" state="visible" r:id="rId7"/>
    <sheet name="Rep Leader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<sst xmlns="http://schemas.openxmlformats.org/spreadsheetml/2006/main" count="1674" uniqueCount="76">
  <si>
    <t xml:space="preserve">⚡  EXECUTIVE SALES PERFORMANCE DASHBOARD  ⚡</t>
  </si>
  <si>
    <t xml:space="preserve">FY 2024  |  All Regions  |  All Products  |  8 Sales Representatives</t>
  </si>
  <si>
    <t xml:space="preserve">TOTAL REVENUE</t>
  </si>
  <si>
    <t xml:space="preserve">TOTAL TARGET</t>
  </si>
  <si>
    <t xml:space="preserve">ACHIEVEMENT</t>
  </si>
  <si>
    <t xml:space="preserve">NET PROFIT</t>
  </si>
  <si>
    <t xml:space="preserve">UNITS SOLD</t>
  </si>
  <si>
    <t xml:space="preserve">TOTAL EXPENSES</t>
  </si>
  <si>
    <t xml:space="preserve">PROFIT MARGIN</t>
  </si>
  <si>
    <t xml:space="preserve">₹18.79 Cr</t>
  </si>
  <si>
    <t xml:space="preserve">₹48.51 Cr</t>
  </si>
  <si>
    <t xml:space="preserve">38.74%</t>
  </si>
  <si>
    <t xml:space="preserve">₹14.03 Cr</t>
  </si>
  <si>
    <t xml:space="preserve">88,259</t>
  </si>
  <si>
    <t xml:space="preserve">₹4.76 Cr</t>
  </si>
  <si>
    <t xml:space="preserve">74.7%</t>
  </si>
  <si>
    <t xml:space="preserve">MONTHLY PERFORMANCE SUMMARY</t>
  </si>
  <si>
    <t xml:space="preserve">REGIONAL SUMMARY</t>
  </si>
  <si>
    <t xml:space="preserve">Month</t>
  </si>
  <si>
    <t xml:space="preserve">Revenue</t>
  </si>
  <si>
    <t xml:space="preserve">Target</t>
  </si>
  <si>
    <t xml:space="preserve">Achievement %</t>
  </si>
  <si>
    <t xml:space="preserve">Units</t>
  </si>
  <si>
    <t xml:space="preserve">Expenses</t>
  </si>
  <si>
    <t xml:space="preserve">Net Profit</t>
  </si>
  <si>
    <t xml:space="preserve">Region</t>
  </si>
  <si>
    <t xml:space="preserve">Jan</t>
  </si>
  <si>
    <t xml:space="preserve">East</t>
  </si>
  <si>
    <t xml:space="preserve">Feb</t>
  </si>
  <si>
    <t xml:space="preserve">North</t>
  </si>
  <si>
    <t xml:space="preserve">Mar</t>
  </si>
  <si>
    <t xml:space="preserve">South</t>
  </si>
  <si>
    <t xml:space="preserve">Apr</t>
  </si>
  <si>
    <t xml:space="preserve">West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</si>
  <si>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</si>
  <si>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</si>
  <si>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</si>
  <si>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</si>
  <si>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</si>
  <si>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</si>
  <si>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</si>
  <si>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</si>
  <si>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Sales Rep</t>
  </si>
  <si>
    <t xml:space="preserve">Product</t>
  </si>
  <si>
    <t xml:space="preserve">Units Sold</t>
  </si>
  <si>
    <t xml:space="preserve">Unit Price (₹)</t>
  </si>
  <si>
    <t xml:space="preserve">Revenue (₹)</t>
  </si>
  <si>
    <t xml:space="preserve">Target (₹)</t>
  </si>
  <si>
    <t xml:space="preserve">Achievement (%)</t>
  </si>
  <si>
    <t xml:space="preserve">Expenses (₹)</t>
  </si>
  <si>
    <t xml:space="preserve">Net Profit (₹)</t>
  </si>
  <si>
    <t xml:space="preserve">Arjun Kumar</t>
  </si>
  <si>
    <t xml:space="preserve">Product A</t>
  </si>
  <si>
    <t xml:space="preserve">Product B</t>
  </si>
  <si>
    <t xml:space="preserve">Product C</t>
  </si>
  <si>
    <t xml:space="preserve">Product D</t>
  </si>
  <si>
    <t xml:space="preserve">Priya Nair</t>
  </si>
  <si>
    <t xml:space="preserve">Rahul Verma</t>
  </si>
  <si>
    <t xml:space="preserve">Deepa Menon</t>
  </si>
  <si>
    <t xml:space="preserve">Amit Shah</t>
  </si>
  <si>
    <t xml:space="preserve">Sunita Roy</t>
  </si>
  <si>
    <t xml:space="preserve">Vikram Iyer</t>
  </si>
  <si>
    <t xml:space="preserve">Anjali Singh</t>
  </si>
  <si>
    <t xml:space="preserve">📅  MONTHLY SALES PERFORMANCE — FY 2024</t>
  </si>
  <si>
    <t xml:space="preserve">Revenue | Target | Achievement | MoM Growth Analysis</t>
  </si>
  <si>
    <t xml:space="preserve">Profit Margin %</t>
  </si>
  <si>
    <t xml:space="preserve">MoM Growth %</t>
  </si>
  <si>
    <t xml:space="preserve">TOTAL</t>
  </si>
  <si>
    <t xml:space="preserve">🌐  REGIONAL SALES PERFORMANCE — FY 2024</t>
  </si>
  <si>
    <t xml:space="preserve">Breakdown by North | South | East | West</t>
  </si>
  <si>
    <t xml:space="preserve">📦  PRODUCT PERFORMANCE ANALYSIS — FY 2024</t>
  </si>
  <si>
    <t xml:space="preserve">Product A | Product B | Product C | Product D</t>
  </si>
  <si>
    <t xml:space="preserve">Avg Unit Price (₹)</t>
  </si>
  <si>
    <t xml:space="preserve">🏆  SALES REP PERFORMANCE LEADERBOARD — FY 2024</t>
  </si>
  <si>
    <t xml:space="preserve">Ranked by Total Revenue | All 8 Representatives</t>
  </si>
  <si>
    <t xml:space="preserve">Rank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</si>
</sst>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\₹#,##0"/>
    <numFmt numFmtId="167" formatCode="0.0%"/>
    <numFmt numFmtId="168" formatCode="#,##0"/>
    <numFmt numFmtId="169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90E0E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E293B"/>
      <name val="Arial"/>
      <family val="0"/>
      <charset val="1"/>
    </font>
    <font>
      <b val="true"/>
      <sz val="10"/>
      <color rgb="FF90E0EF"/>
      <name val="Arial"/>
      <family val="0"/>
      <charset val="1"/>
    </font>
    <font>
      <b val="true"/>
      <sz val="10"/>
      <color rgb="FF1E293B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1B2A4A"/>
        <bgColor rgb="FF1E293B"/>
      </patternFill>
    </fill>
    <fill>
      <patternFill patternType="solid">
        <fgColor rgb="FF00B4D8"/>
        <bgColor rgb="FF33CCCC"/>
      </patternFill>
    </fill>
    <fill>
      <patternFill patternType="solid">
        <fgColor rgb="FF475574"/>
        <bgColor rgb="FF1B4F72"/>
      </patternFill>
    </fill>
    <fill>
      <patternFill patternType="solid">
        <fgColor rgb="FF117A65"/>
        <bgColor rgb="FF008080"/>
      </patternFill>
    </fill>
    <fill>
      <patternFill patternType="solid">
        <fgColor rgb="FF22C55E"/>
        <bgColor rgb="FF33CCCC"/>
      </patternFill>
    </fill>
    <fill>
      <patternFill patternType="solid">
        <fgColor rgb="FF7D3C98"/>
        <bgColor rgb="FF993366"/>
      </patternFill>
    </fill>
    <fill>
      <patternFill patternType="solid">
        <fgColor rgb="FFA04000"/>
        <bgColor rgb="FF993366"/>
      </patternFill>
    </fill>
    <fill>
      <patternFill patternType="solid">
        <fgColor rgb="FF1B4F72"/>
        <bgColor rgb="FF475574"/>
      </patternFill>
    </fill>
    <fill>
      <patternFill patternType="solid">
        <fgColor rgb="FFF0F4F8"/>
        <bgColor rgb="FFF9F9F9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  <fill>
      <patternFill patternType="solid">
        <fgColor rgb="FFF59E0B"/>
        <bgColor rgb="FFD4AF37"/>
      </patternFill>
    </fill>
    <fill>
      <patternFill patternType="solid">
        <fgColor rgb="FFA855F7"/>
        <bgColor rgb="FF7D3C98"/>
      </patternFill>
    </fill>
    <fill>
      <patternFill patternType="solid">
        <fgColor rgb="FFD4AF37"/>
        <bgColor rgb="FFF59E0B"/>
      </patternFill>
    </fill>
    <fill>
      <patternFill patternType="solid">
        <fgColor rgb="FFA8A9AD"/>
        <bgColor rgb="FF878787"/>
      </patternFill>
    </fill>
    <fill>
      <patternFill patternType="solid">
        <fgColor rgb="FFCD7F32"/>
        <bgColor rgb="FFF59E0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D9D9D9"/>
      <rgbColor rgb="FF878787"/>
      <rgbColor rgb="FFA855F7"/>
      <rgbColor rgb="FF7D3C98"/>
      <rgbColor rgb="FFF9F9F9"/>
      <rgbColor rgb="FFF0F4F8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F8FAFC"/>
      <rgbColor rgb="FFCCFFCC"/>
      <rgbColor rgb="FFFFFF99"/>
      <rgbColor rgb="FF90E0EF"/>
      <rgbColor rgb="FFFF99CC"/>
      <rgbColor rgb="FFCC99FF"/>
      <rgbColor rgb="FFFFCC99"/>
      <rgbColor rgb="FF4F81BD"/>
      <rgbColor rgb="FF33CCCC"/>
      <rgbColor rgb="FF99CC00"/>
      <rgbColor rgb="FFD4AF37"/>
      <rgbColor rgb="FFF59E0B"/>
      <rgbColor rgb="FFCD7F32"/>
      <rgbColor rgb="FF475574"/>
      <rgbColor rgb="FFA8A9AD"/>
      <rgbColor rgb="FF1B2A4A"/>
      <rgbColor rgb="FF22C55E"/>
      <rgbColor rgb="FF0D1B2A"/>
      <rgbColor rgb="FF333300"/>
      <rgbColor rgb="FFA04000"/>
      <rgbColor rgb="FF993366"/>
      <rgbColor rgb="FF1B4F72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(FY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Analysis'!B4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00b4d8"/>
            </a:solidFill>
            <a:ln w="2808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Analysis'!$B$5:$B$16</c:f>
              <c:numCache>
                <c:formatCode>\₹#,##0</c:formatCode>
                <c:ptCount val="12"/>
                <c:pt idx="0">
                  <c:v>13830106</c:v>
                </c:pt>
                <c:pt idx="1">
                  <c:v>17374718</c:v>
                </c:pt>
                <c:pt idx="2">
                  <c:v>17025730</c:v>
                </c:pt>
                <c:pt idx="3">
                  <c:v>14874430</c:v>
                </c:pt>
                <c:pt idx="4">
                  <c:v>15586311</c:v>
                </c:pt>
                <c:pt idx="5">
                  <c:v>12262960</c:v>
                </c:pt>
                <c:pt idx="6">
                  <c:v>18462338</c:v>
                </c:pt>
                <c:pt idx="7">
                  <c:v>19783721</c:v>
                </c:pt>
                <c:pt idx="8">
                  <c:v>14458921</c:v>
                </c:pt>
                <c:pt idx="9">
                  <c:v>14184098</c:v>
                </c:pt>
                <c:pt idx="10">
                  <c:v>13809449</c:v>
                </c:pt>
                <c:pt idx="11">
                  <c:v>16281210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88442"/>
        <c:axId val="30933142"/>
      </c:lineChart>
      <c:catAx>
        <c:axId val="11884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33142"/>
        <c:crosses val="autoZero"/>
        <c:auto val="1"/>
        <c:lblAlgn val="ctr"/>
        <c:lblOffset val="100"/>
        <c:noMultiLvlLbl val="0"/>
      </c:catAx>
      <c:valAx>
        <c:axId val="309331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84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Analysis'!B4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00b4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Analysis'!$B$5:$B$16</c:f>
              <c:numCache>
                <c:formatCode>\₹#,##0</c:formatCode>
                <c:ptCount val="12"/>
                <c:pt idx="0">
                  <c:v>13830106</c:v>
                </c:pt>
                <c:pt idx="1">
                  <c:v>17374718</c:v>
                </c:pt>
                <c:pt idx="2">
                  <c:v>17025730</c:v>
                </c:pt>
                <c:pt idx="3">
                  <c:v>14874430</c:v>
                </c:pt>
                <c:pt idx="4">
                  <c:v>15586311</c:v>
                </c:pt>
                <c:pt idx="5">
                  <c:v>12262960</c:v>
                </c:pt>
                <c:pt idx="6">
                  <c:v>18462338</c:v>
                </c:pt>
                <c:pt idx="7">
                  <c:v>19783721</c:v>
                </c:pt>
                <c:pt idx="8">
                  <c:v>14458921</c:v>
                </c:pt>
                <c:pt idx="9">
                  <c:v>14184098</c:v>
                </c:pt>
                <c:pt idx="10">
                  <c:v>13809449</c:v>
                </c:pt>
                <c:pt idx="11">
                  <c:v>16281210</c:v>
                </c:pt>
              </c:numCache>
            </c:numRef>
          </c:val>
        </c:ser>
        <c:ser>
          <c:idx val="1"/>
          <c:order val="1"/>
          <c:tx>
            <c:strRef>
              <c:f>'Monthly Analysis'!C4</c:f>
              <c:strCache>
                <c:ptCount val="1"/>
                <c:pt idx="0">
                  <c:v>Target (₹)</c:v>
                </c:pt>
              </c:strCache>
            </c:strRef>
          </c:tx>
          <c:spPr>
            <a:solidFill>
              <a:srgbClr val="cbd5e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Analysis'!$C$5:$C$16</c:f>
              <c:numCache>
                <c:formatCode>\₹#,##0</c:formatCode>
                <c:ptCount val="12"/>
                <c:pt idx="0">
                  <c:v>39107602</c:v>
                </c:pt>
                <c:pt idx="1">
                  <c:v>37861343</c:v>
                </c:pt>
                <c:pt idx="2">
                  <c:v>38247090</c:v>
                </c:pt>
                <c:pt idx="3">
                  <c:v>40903223</c:v>
                </c:pt>
                <c:pt idx="4">
                  <c:v>44422939</c:v>
                </c:pt>
                <c:pt idx="5">
                  <c:v>41811761</c:v>
                </c:pt>
                <c:pt idx="6">
                  <c:v>39843393</c:v>
                </c:pt>
                <c:pt idx="7">
                  <c:v>38216231</c:v>
                </c:pt>
                <c:pt idx="8">
                  <c:v>44394420</c:v>
                </c:pt>
                <c:pt idx="9">
                  <c:v>42574981</c:v>
                </c:pt>
                <c:pt idx="10">
                  <c:v>36236684</c:v>
                </c:pt>
                <c:pt idx="11">
                  <c:v>41458521</c:v>
                </c:pt>
              </c:numCache>
            </c:numRef>
          </c:val>
        </c:ser>
        <c:gapWidth val="150"/>
        <c:overlap val="-10"/>
        <c:axId val="6412330"/>
        <c:axId val="93787044"/>
      </c:barChart>
      <c:catAx>
        <c:axId val="64123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87044"/>
        <c:crosses val="autoZero"/>
        <c:auto val="1"/>
        <c:lblAlgn val="ctr"/>
        <c:lblOffset val="100"/>
        <c:noMultiLvlLbl val="0"/>
      </c:catAx>
      <c:valAx>
        <c:axId val="93787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23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Analysis'!G4</c:f>
              <c:strCache>
                <c:ptCount val="1"/>
                <c:pt idx="0">
                  <c:v>Net Profit (₹)</c:v>
                </c:pt>
              </c:strCache>
            </c:strRef>
          </c:tx>
          <c:spPr>
            <a:solidFill>
              <a:srgbClr val="22c55e"/>
            </a:solidFill>
            <a:ln w="24840">
              <a:solidFill>
                <a:srgbClr val="22c5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Analysis'!$G$5:$G$16</c:f>
              <c:numCache>
                <c:formatCode>\₹#,##0</c:formatCode>
                <c:ptCount val="12"/>
                <c:pt idx="0">
                  <c:v>9811585</c:v>
                </c:pt>
                <c:pt idx="1">
                  <c:v>13303762</c:v>
                </c:pt>
                <c:pt idx="2">
                  <c:v>13532712</c:v>
                </c:pt>
                <c:pt idx="3">
                  <c:v>10872189</c:v>
                </c:pt>
                <c:pt idx="4">
                  <c:v>11436144</c:v>
                </c:pt>
                <c:pt idx="5">
                  <c:v>8308100</c:v>
                </c:pt>
                <c:pt idx="6">
                  <c:v>14730419</c:v>
                </c:pt>
                <c:pt idx="7">
                  <c:v>15893055</c:v>
                </c:pt>
                <c:pt idx="8">
                  <c:v>10427341</c:v>
                </c:pt>
                <c:pt idx="9">
                  <c:v>10123429</c:v>
                </c:pt>
                <c:pt idx="10">
                  <c:v>9740500</c:v>
                </c:pt>
                <c:pt idx="11">
                  <c:v>12124511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213086"/>
        <c:axId val="35360516"/>
      </c:lineChart>
      <c:catAx>
        <c:axId val="312130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60516"/>
        <c:crosses val="autoZero"/>
        <c:auto val="1"/>
        <c:lblAlgn val="ctr"/>
        <c:lblOffset val="100"/>
        <c:noMultiLvlLbl val="0"/>
      </c:catAx>
      <c:valAx>
        <c:axId val="353605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130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Month-over-Month Growth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Analysis'!I5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855f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Analysis'!$I$6:$I$16</c:f>
              <c:numCache>
                <c:formatCode>0.0%</c:formatCode>
                <c:ptCount val="11"/>
                <c:pt idx="0">
                  <c:v>0.256296806401918</c:v>
                </c:pt>
                <c:pt idx="1">
                  <c:v>-0.0200859662873377</c:v>
                </c:pt>
                <c:pt idx="2">
                  <c:v>-0.126355815580301</c:v>
                </c:pt>
                <c:pt idx="3">
                  <c:v>0.0478593801577607</c:v>
                </c:pt>
                <c:pt idx="4">
                  <c:v>-0.213222423189169</c:v>
                </c:pt>
                <c:pt idx="5">
                  <c:v>0.505536836130918</c:v>
                </c:pt>
                <c:pt idx="6">
                  <c:v>0.0715718128440721</c:v>
                </c:pt>
                <c:pt idx="7">
                  <c:v>-0.26915058092459</c:v>
                </c:pt>
                <c:pt idx="8">
                  <c:v>-0.0190071582796531</c:v>
                </c:pt>
                <c:pt idx="9">
                  <c:v>-0.0264133115831546</c:v>
                </c:pt>
                <c:pt idx="10">
                  <c:v>0.178990559290237</c:v>
                </c:pt>
              </c:numCache>
            </c:numRef>
          </c:val>
        </c:ser>
        <c:gapWidth val="150"/>
        <c:overlap val="0"/>
        <c:axId val="39326637"/>
        <c:axId val="62437143"/>
      </c:barChart>
      <c:catAx>
        <c:axId val="393266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37143"/>
        <c:crosses val="autoZero"/>
        <c:auto val="1"/>
        <c:lblAlgn val="ctr"/>
        <c:lblOffset val="100"/>
        <c:noMultiLvlLbl val="0"/>
      </c:catAx>
      <c:valAx>
        <c:axId val="62437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26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'Regional Analysis'!B4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b4f7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117a6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7d3c9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a040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'Regional Analysis'!$A$5:$A$8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Analysis'!$B$5:$B$8</c:f>
              <c:numCache>
                <c:formatCode>\₹#,##0</c:formatCode>
                <c:ptCount val="4"/>
                <c:pt idx="0">
                  <c:v>50750453</c:v>
                </c:pt>
                <c:pt idx="1">
                  <c:v>49112161</c:v>
                </c:pt>
                <c:pt idx="2">
                  <c:v>40462753</c:v>
                </c:pt>
                <c:pt idx="3">
                  <c:v>47608625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Target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Analysis'!B4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00b4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Analysis'!$B$5:$B$8</c:f>
              <c:numCache>
                <c:formatCode>\₹#,##0</c:formatCode>
                <c:ptCount val="4"/>
                <c:pt idx="0">
                  <c:v>50750453</c:v>
                </c:pt>
                <c:pt idx="1">
                  <c:v>49112161</c:v>
                </c:pt>
                <c:pt idx="2">
                  <c:v>40462753</c:v>
                </c:pt>
                <c:pt idx="3">
                  <c:v>47608625</c:v>
                </c:pt>
              </c:numCache>
            </c:numRef>
          </c:val>
        </c:ser>
        <c:ser>
          <c:idx val="1"/>
          <c:order val="1"/>
          <c:tx>
            <c:strRef>
              <c:f>'Regional Analysis'!C4</c:f>
              <c:strCache>
                <c:ptCount val="1"/>
                <c:pt idx="0">
                  <c:v>Target (₹)</c:v>
                </c:pt>
              </c:strCache>
            </c:strRef>
          </c:tx>
          <c:spPr>
            <a:solidFill>
              <a:srgbClr val="cbd5e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Analysis'!$C$5:$C$8</c:f>
              <c:numCache>
                <c:formatCode>\₹#,##0</c:formatCode>
                <c:ptCount val="4"/>
                <c:pt idx="0">
                  <c:v>120904785</c:v>
                </c:pt>
                <c:pt idx="1">
                  <c:v>122547577</c:v>
                </c:pt>
                <c:pt idx="2">
                  <c:v>118744399</c:v>
                </c:pt>
                <c:pt idx="3">
                  <c:v>122881427</c:v>
                </c:pt>
              </c:numCache>
            </c:numRef>
          </c:val>
        </c:ser>
        <c:gapWidth val="150"/>
        <c:overlap val="0"/>
        <c:axId val="11732454"/>
        <c:axId val="91836303"/>
      </c:barChart>
      <c:catAx>
        <c:axId val="117324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36303"/>
        <c:crosses val="autoZero"/>
        <c:auto val="1"/>
        <c:lblAlgn val="ctr"/>
        <c:lblOffset val="100"/>
        <c:noMultiLvlLbl val="0"/>
      </c:catAx>
      <c:valAx>
        <c:axId val="91836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32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'Regional Analysis'!G4</c:f>
              <c:strCache>
                <c:ptCount val="1"/>
                <c:pt idx="0">
                  <c:v>Net Profit (₹)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Analysis'!$G$5:$G$8</c:f>
              <c:numCache>
                <c:formatCode>\₹#,##0</c:formatCode>
                <c:ptCount val="4"/>
                <c:pt idx="0">
                  <c:v>38877528</c:v>
                </c:pt>
                <c:pt idx="1">
                  <c:v>37126483</c:v>
                </c:pt>
                <c:pt idx="2">
                  <c:v>29199076</c:v>
                </c:pt>
                <c:pt idx="3">
                  <c:v>35100660</c:v>
                </c:pt>
              </c:numCache>
            </c:numRef>
          </c:val>
        </c:ser>
        <c:gapWidth val="150"/>
        <c:overlap val="0"/>
        <c:axId val="1640865"/>
        <c:axId val="57467268"/>
      </c:barChart>
      <c:catAx>
        <c:axId val="164086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67268"/>
        <c:crosses val="autoZero"/>
        <c:auto val="1"/>
        <c:lblAlgn val="ctr"/>
        <c:lblOffset val="100"/>
        <c:noMultiLvlLbl val="0"/>
      </c:catAx>
      <c:valAx>
        <c:axId val="57467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08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'Product Analysis'!B4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f59e0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00b4d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22c55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a855f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'Product Analysis'!$A$5:$A$8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'Product Analysis'!$B$5:$B$8</c:f>
              <c:numCache>
                <c:formatCode>\₹#,##0</c:formatCode>
                <c:ptCount val="4"/>
                <c:pt idx="0">
                  <c:v>44224918</c:v>
                </c:pt>
                <c:pt idx="1">
                  <c:v>51792878</c:v>
                </c:pt>
                <c:pt idx="2">
                  <c:v>48276413</c:v>
                </c:pt>
                <c:pt idx="3">
                  <c:v>43639783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Net Profit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Analysis'!B4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00b4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Analysis'!$A$5:$A$8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'Product Analysis'!$B$5:$B$8</c:f>
              <c:numCache>
                <c:formatCode>\₹#,##0</c:formatCode>
                <c:ptCount val="4"/>
                <c:pt idx="0">
                  <c:v>44224918</c:v>
                </c:pt>
                <c:pt idx="1">
                  <c:v>51792878</c:v>
                </c:pt>
                <c:pt idx="2">
                  <c:v>48276413</c:v>
                </c:pt>
                <c:pt idx="3">
                  <c:v>43639783</c:v>
                </c:pt>
              </c:numCache>
            </c:numRef>
          </c:val>
        </c:ser>
        <c:ser>
          <c:idx val="1"/>
          <c:order val="1"/>
          <c:tx>
            <c:strRef>
              <c:f>'Product Analysis'!F4</c:f>
              <c:strCache>
                <c:ptCount val="1"/>
                <c:pt idx="0">
                  <c:v>Net Profit (₹)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Analysis'!$A$5:$A$8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'Product Analysis'!$F$5:$F$8</c:f>
              <c:numCache>
                <c:formatCode>\₹#,##0</c:formatCode>
                <c:ptCount val="4"/>
                <c:pt idx="0">
                  <c:v>32106594</c:v>
                </c:pt>
                <c:pt idx="1">
                  <c:v>40395452</c:v>
                </c:pt>
                <c:pt idx="2">
                  <c:v>36248355</c:v>
                </c:pt>
                <c:pt idx="3">
                  <c:v>31553346</c:v>
                </c:pt>
              </c:numCache>
            </c:numRef>
          </c:val>
        </c:ser>
        <c:gapWidth val="150"/>
        <c:overlap val="0"/>
        <c:axId val="56752255"/>
        <c:axId val="60640335"/>
      </c:barChart>
      <c:catAx>
        <c:axId val="5675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40335"/>
        <c:crosses val="autoZero"/>
        <c:auto val="1"/>
        <c:lblAlgn val="ctr"/>
        <c:lblOffset val="100"/>
        <c:noMultiLvlLbl val="0"/>
      </c:catAx>
      <c:valAx>
        <c:axId val="60640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52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%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Analysis'!G4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rgbClr val="f59e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Analysis'!$A$5:$A$8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'Product Analysis'!$G$5:$G$8</c:f>
              <c:numCache>
                <c:formatCode>0.0%</c:formatCode>
                <c:ptCount val="4"/>
                <c:pt idx="0">
                  <c:v>0.725984251683632</c:v>
                </c:pt>
                <c:pt idx="1">
                  <c:v>0.779942215221174</c:v>
                </c:pt>
                <c:pt idx="2">
                  <c:v>0.750850213332958</c:v>
                </c:pt>
                <c:pt idx="3">
                  <c:v>0.723040854717357</c:v>
                </c:pt>
              </c:numCache>
            </c:numRef>
          </c:val>
        </c:ser>
        <c:gapWidth val="150"/>
        <c:overlap val="0"/>
        <c:axId val="61457912"/>
        <c:axId val="90389261"/>
      </c:barChart>
      <c:catAx>
        <c:axId val="61457912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89261"/>
        <c:crosses val="autoZero"/>
        <c:auto val="1"/>
        <c:lblAlgn val="ctr"/>
        <c:lblOffset val="100"/>
        <c:noMultiLvlLbl val="0"/>
      </c:catAx>
      <c:valAx>
        <c:axId val="90389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579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Profit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'Rep Leaderboard'!D4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00b4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 Leaderboard'!$B$5:$B$12</c:f>
              <c:strCache>
                <c:ptCount val="8"/>
                <c:pt idx="0">
                  <c:v>Vikram Iyer</c:v>
                </c:pt>
                <c:pt idx="1">
                  <c:v>Sunita Roy</c:v>
                </c:pt>
                <c:pt idx="2">
                  <c:v>Deepa Menon</c:v>
                </c:pt>
                <c:pt idx="3">
                  <c:v>Priya Nair</c:v>
                </c:pt>
                <c:pt idx="4">
                  <c:v>Amit Shah</c:v>
                </c:pt>
                <c:pt idx="5">
                  <c:v>Arjun Kumar</c:v>
                </c:pt>
                <c:pt idx="6">
                  <c:v>Anjali Singh</c:v>
                </c:pt>
                <c:pt idx="7">
                  <c:v>Rahul Verma</c:v>
                </c:pt>
              </c:strCache>
            </c:strRef>
          </c:cat>
          <c:val>
            <c:numRef>
              <c:f>'Rep Leaderboard'!$D$5:$D$12</c:f>
              <c:numCache>
                <c:formatCode>\₹#,##0</c:formatCode>
                <c:ptCount val="8"/>
                <c:pt idx="0">
                  <c:v>27579253</c:v>
                </c:pt>
                <c:pt idx="1">
                  <c:v>26101777</c:v>
                </c:pt>
                <c:pt idx="2">
                  <c:v>25827728</c:v>
                </c:pt>
                <c:pt idx="3">
                  <c:v>24848387</c:v>
                </c:pt>
                <c:pt idx="4">
                  <c:v>24648676</c:v>
                </c:pt>
                <c:pt idx="5">
                  <c:v>24263774</c:v>
                </c:pt>
                <c:pt idx="6">
                  <c:v>20029372</c:v>
                </c:pt>
                <c:pt idx="7">
                  <c:v>14635025</c:v>
                </c:pt>
              </c:numCache>
            </c:numRef>
          </c:val>
        </c:ser>
        <c:ser>
          <c:idx val="1"/>
          <c:order val="1"/>
          <c:tx>
            <c:strRef>
              <c:f>'Rep Leaderboard'!H4</c:f>
              <c:strCache>
                <c:ptCount val="1"/>
                <c:pt idx="0">
                  <c:v>Net Profit (₹)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 Leaderboard'!$B$5:$B$12</c:f>
              <c:strCache>
                <c:ptCount val="8"/>
                <c:pt idx="0">
                  <c:v>Vikram Iyer</c:v>
                </c:pt>
                <c:pt idx="1">
                  <c:v>Sunita Roy</c:v>
                </c:pt>
                <c:pt idx="2">
                  <c:v>Deepa Menon</c:v>
                </c:pt>
                <c:pt idx="3">
                  <c:v>Priya Nair</c:v>
                </c:pt>
                <c:pt idx="4">
                  <c:v>Amit Shah</c:v>
                </c:pt>
                <c:pt idx="5">
                  <c:v>Arjun Kumar</c:v>
                </c:pt>
                <c:pt idx="6">
                  <c:v>Anjali Singh</c:v>
                </c:pt>
                <c:pt idx="7">
                  <c:v>Rahul Verma</c:v>
                </c:pt>
              </c:strCache>
            </c:strRef>
          </c:cat>
          <c:val>
            <c:numRef>
              <c:f>'Rep Leaderboard'!$H$5:$H$12</c:f>
              <c:numCache>
                <c:formatCode>\₹#,##0</c:formatCode>
                <c:ptCount val="8"/>
                <c:pt idx="0">
                  <c:v>21228651</c:v>
                </c:pt>
                <c:pt idx="1">
                  <c:v>19807188</c:v>
                </c:pt>
                <c:pt idx="2">
                  <c:v>20205132</c:v>
                </c:pt>
                <c:pt idx="3">
                  <c:v>18716059</c:v>
                </c:pt>
                <c:pt idx="4">
                  <c:v>19070340</c:v>
                </c:pt>
                <c:pt idx="5">
                  <c:v>18410424</c:v>
                </c:pt>
                <c:pt idx="6">
                  <c:v>13872009</c:v>
                </c:pt>
                <c:pt idx="7">
                  <c:v>8993944</c:v>
                </c:pt>
              </c:numCache>
            </c:numRef>
          </c:val>
        </c:ser>
        <c:gapWidth val="150"/>
        <c:overlap val="0"/>
        <c:axId val="65459536"/>
        <c:axId val="22155260"/>
      </c:barChart>
      <c:catAx>
        <c:axId val="6545953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55260"/>
        <c:crosses val="autoZero"/>
        <c:auto val="1"/>
        <c:lblAlgn val="ctr"/>
        <c:lblOffset val="100"/>
        <c:noMultiLvlLbl val="0"/>
      </c:catAx>
      <c:valAx>
        <c:axId val="22155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595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Achievement % by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'Rep Leaderboard'!F4</c:f>
              <c:strCache>
                <c:ptCount val="1"/>
                <c:pt idx="0">
                  <c:v>Achievement %</c:v>
                </c:pt>
              </c:strCache>
            </c:strRef>
          </c:tx>
          <c:spPr>
            <a:solidFill>
              <a:srgbClr val="a855f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 Leaderboard'!$B$5:$B$12</c:f>
              <c:strCache>
                <c:ptCount val="8"/>
                <c:pt idx="0">
                  <c:v>Vikram Iyer</c:v>
                </c:pt>
                <c:pt idx="1">
                  <c:v>Sunita Roy</c:v>
                </c:pt>
                <c:pt idx="2">
                  <c:v>Deepa Menon</c:v>
                </c:pt>
                <c:pt idx="3">
                  <c:v>Priya Nair</c:v>
                </c:pt>
                <c:pt idx="4">
                  <c:v>Amit Shah</c:v>
                </c:pt>
                <c:pt idx="5">
                  <c:v>Arjun Kumar</c:v>
                </c:pt>
                <c:pt idx="6">
                  <c:v>Anjali Singh</c:v>
                </c:pt>
                <c:pt idx="7">
                  <c:v>Rahul Verma</c:v>
                </c:pt>
              </c:strCache>
            </c:strRef>
          </c:cat>
          <c:val>
            <c:numRef>
              <c:f>'Rep Leaderboard'!$F$5:$F$12</c:f>
              <c:numCache>
                <c:formatCode>0.0%</c:formatCode>
                <c:ptCount val="8"/>
                <c:pt idx="0">
                  <c:v>0.466692870765335</c:v>
                </c:pt>
                <c:pt idx="1">
                  <c:v>0.429805906115802</c:v>
                </c:pt>
                <c:pt idx="2">
                  <c:v>0.432170647961608</c:v>
                </c:pt>
                <c:pt idx="3">
                  <c:v>0.395832957652587</c:v>
                </c:pt>
                <c:pt idx="4">
                  <c:v>0.409612698948274</c:v>
                </c:pt>
                <c:pt idx="5">
                  <c:v>0.40593442033559</c:v>
                </c:pt>
                <c:pt idx="6">
                  <c:v>0.314007201478511</c:v>
                </c:pt>
                <c:pt idx="7">
                  <c:v>0.248128657888709</c:v>
                </c:pt>
              </c:numCache>
            </c:numRef>
          </c:val>
        </c:ser>
        <c:gapWidth val="150"/>
        <c:overlap val="0"/>
        <c:axId val="27013252"/>
        <c:axId val="5646867"/>
      </c:barChart>
      <c:catAx>
        <c:axId val="27013252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6867"/>
        <c:crosses val="autoZero"/>
        <c:auto val="1"/>
        <c:lblAlgn val="ctr"/>
        <c:lblOffset val="100"/>
        <c:noMultiLvlLbl val="0"/>
      </c:catAx>
      <c:valAx>
        <c:axId val="5646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13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11</xdr:col>
      <xdr:colOff>55440</xdr:colOff>
      <xdr:row>48</xdr:row>
      <xdr:rowOff>86400</xdr:rowOff>
    </xdr:to>
    <xdr:graphicFrame>
      <xdr:nvGraphicFramePr>
        <xdr:cNvPr id="0" name="Chart 1"/>
        <xdr:cNvGraphicFramePr/>
      </xdr:nvGraphicFramePr>
      <xdr:xfrm>
        <a:off x="0" y="493380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7</xdr:col>
      <xdr:colOff>871200</xdr:colOff>
      <xdr:row>42</xdr:row>
      <xdr:rowOff>107640</xdr:rowOff>
    </xdr:to>
    <xdr:graphicFrame>
      <xdr:nvGraphicFramePr>
        <xdr:cNvPr id="1" name="Chart 1"/>
        <xdr:cNvGraphicFramePr/>
      </xdr:nvGraphicFramePr>
      <xdr:xfrm>
        <a:off x="0" y="38196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18</xdr:row>
      <xdr:rowOff>0</xdr:rowOff>
    </xdr:from>
    <xdr:to>
      <xdr:col>22</xdr:col>
      <xdr:colOff>581760</xdr:colOff>
      <xdr:row>42</xdr:row>
      <xdr:rowOff>107640</xdr:rowOff>
    </xdr:to>
    <xdr:graphicFrame>
      <xdr:nvGraphicFramePr>
        <xdr:cNvPr id="2" name="Chart 2"/>
        <xdr:cNvGraphicFramePr/>
      </xdr:nvGraphicFramePr>
      <xdr:xfrm>
        <a:off x="9704160" y="38196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7</xdr:col>
      <xdr:colOff>871200</xdr:colOff>
      <xdr:row>61</xdr:row>
      <xdr:rowOff>107640</xdr:rowOff>
    </xdr:to>
    <xdr:graphicFrame>
      <xdr:nvGraphicFramePr>
        <xdr:cNvPr id="3" name="Chart 3"/>
        <xdr:cNvGraphicFramePr/>
      </xdr:nvGraphicFramePr>
      <xdr:xfrm>
        <a:off x="0" y="743904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6</xdr:col>
      <xdr:colOff>417960</xdr:colOff>
      <xdr:row>36</xdr:row>
      <xdr:rowOff>86400</xdr:rowOff>
    </xdr:to>
    <xdr:graphicFrame>
      <xdr:nvGraphicFramePr>
        <xdr:cNvPr id="4" name="Chart 1"/>
        <xdr:cNvGraphicFramePr/>
      </xdr:nvGraphicFramePr>
      <xdr:xfrm>
        <a:off x="0" y="22096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21</xdr:col>
      <xdr:colOff>581400</xdr:colOff>
      <xdr:row>36</xdr:row>
      <xdr:rowOff>86400</xdr:rowOff>
    </xdr:to>
    <xdr:graphicFrame>
      <xdr:nvGraphicFramePr>
        <xdr:cNvPr id="5" name="Chart 2"/>
        <xdr:cNvGraphicFramePr/>
      </xdr:nvGraphicFramePr>
      <xdr:xfrm>
        <a:off x="8858160" y="22096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6</xdr:col>
      <xdr:colOff>417960</xdr:colOff>
      <xdr:row>53</xdr:row>
      <xdr:rowOff>86400</xdr:rowOff>
    </xdr:to>
    <xdr:graphicFrame>
      <xdr:nvGraphicFramePr>
        <xdr:cNvPr id="6" name="Chart 3"/>
        <xdr:cNvGraphicFramePr/>
      </xdr:nvGraphicFramePr>
      <xdr:xfrm>
        <a:off x="0" y="544824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5</xdr:col>
      <xdr:colOff>1052280</xdr:colOff>
      <xdr:row>36</xdr:row>
      <xdr:rowOff>86400</xdr:rowOff>
    </xdr:to>
    <xdr:graphicFrame>
      <xdr:nvGraphicFramePr>
        <xdr:cNvPr id="7" name="Chart 1"/>
        <xdr:cNvGraphicFramePr/>
      </xdr:nvGraphicFramePr>
      <xdr:xfrm>
        <a:off x="0" y="22096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21</xdr:col>
      <xdr:colOff>581760</xdr:colOff>
      <xdr:row>36</xdr:row>
      <xdr:rowOff>86400</xdr:rowOff>
    </xdr:to>
    <xdr:graphicFrame>
      <xdr:nvGraphicFramePr>
        <xdr:cNvPr id="8" name="Chart 2"/>
        <xdr:cNvGraphicFramePr/>
      </xdr:nvGraphicFramePr>
      <xdr:xfrm>
        <a:off x="8906040" y="22096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5</xdr:col>
      <xdr:colOff>1052280</xdr:colOff>
      <xdr:row>53</xdr:row>
      <xdr:rowOff>86400</xdr:rowOff>
    </xdr:to>
    <xdr:graphicFrame>
      <xdr:nvGraphicFramePr>
        <xdr:cNvPr id="9" name="Chart 3"/>
        <xdr:cNvGraphicFramePr/>
      </xdr:nvGraphicFramePr>
      <xdr:xfrm>
        <a:off x="0" y="544824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9</xdr:col>
      <xdr:colOff>415800</xdr:colOff>
      <xdr:row>45</xdr:row>
      <xdr:rowOff>44640</xdr:rowOff>
    </xdr:to>
    <xdr:graphicFrame>
      <xdr:nvGraphicFramePr>
        <xdr:cNvPr id="10" name="Chart 1"/>
        <xdr:cNvGraphicFramePr/>
      </xdr:nvGraphicFramePr>
      <xdr:xfrm>
        <a:off x="0" y="316224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15</xdr:row>
      <xdr:rowOff>0</xdr:rowOff>
    </xdr:from>
    <xdr:to>
      <xdr:col>22</xdr:col>
      <xdr:colOff>473040</xdr:colOff>
      <xdr:row>45</xdr:row>
      <xdr:rowOff>44640</xdr:rowOff>
    </xdr:to>
    <xdr:graphicFrame>
      <xdr:nvGraphicFramePr>
        <xdr:cNvPr id="11" name="Chart 2"/>
        <xdr:cNvGraphicFramePr/>
      </xdr:nvGraphicFramePr>
      <xdr:xfrm>
        <a:off x="9446760" y="3162240"/>
        <a:ext cx="719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3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4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.7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  <c r="K4" s="8" t="s">
        <v>7</v>
      </c>
      <c r="L4" s="8"/>
      <c r="M4" s="9" t="s">
        <v>8</v>
      </c>
      <c r="N4" s="9"/>
    </row>
    <row r="5" customFormat="false" ht="36" hidden="false" customHeight="true" outlineLevel="0" collapsed="false">
      <c r="A5" s="10" t="s">
        <v>9</v>
      </c>
      <c r="B5" s="10"/>
      <c r="C5" s="11" t="s">
        <v>10</v>
      </c>
      <c r="D5" s="11"/>
      <c r="E5" s="12" t="s">
        <v>11</v>
      </c>
      <c r="F5" s="12"/>
      <c r="G5" s="13" t="s">
        <v>12</v>
      </c>
      <c r="H5" s="13"/>
      <c r="I5" s="14" t="s">
        <v>13</v>
      </c>
      <c r="J5" s="14"/>
      <c r="K5" s="15" t="s">
        <v>14</v>
      </c>
      <c r="L5" s="15"/>
      <c r="M5" s="16" t="s">
        <v>15</v>
      </c>
      <c r="N5" s="16"/>
    </row>
    <row r="6" customFormat="false" ht="7.5" hidden="false" customHeight="true" outlineLevel="0" collapsed="false">
      <c r="A6" s="17"/>
      <c r="B6" s="17"/>
      <c r="C6" s="18"/>
      <c r="D6" s="18"/>
      <c r="E6" s="19"/>
      <c r="F6" s="19"/>
      <c r="G6" s="20"/>
      <c r="H6" s="20"/>
      <c r="I6" s="21"/>
      <c r="J6" s="21"/>
      <c r="K6" s="22"/>
      <c r="L6" s="22"/>
      <c r="M6" s="23"/>
      <c r="N6" s="23"/>
    </row>
    <row r="7" customFormat="false" ht="13.5" hidden="false" customHeight="true" outlineLevel="0" collapsed="false"/>
    <row r="8" customFormat="false" ht="19.5" hidden="false" customHeight="true" outlineLevel="0" collapsed="false">
      <c r="A8" s="24" t="s">
        <v>16</v>
      </c>
      <c r="B8" s="24"/>
      <c r="C8" s="24"/>
      <c r="D8" s="24"/>
      <c r="E8" s="24"/>
      <c r="F8" s="24"/>
      <c r="G8" s="24"/>
      <c r="I8" s="24" t="s">
        <v>17</v>
      </c>
      <c r="J8" s="24"/>
      <c r="K8" s="24"/>
      <c r="L8" s="24"/>
      <c r="M8" s="24"/>
      <c r="N8" s="24"/>
    </row>
    <row r="9" customFormat="false" ht="15" hidden="false" customHeight="false" outlineLevel="0" collapsed="false">
      <c r="A9" s="25" t="s">
        <v>18</v>
      </c>
      <c r="B9" s="25" t="s">
        <v>19</v>
      </c>
      <c r="C9" s="25" t="s">
        <v>20</v>
      </c>
      <c r="D9" s="25" t="s">
        <v>21</v>
      </c>
      <c r="E9" s="25" t="s">
        <v>22</v>
      </c>
      <c r="F9" s="25" t="s">
        <v>23</v>
      </c>
      <c r="G9" s="25" t="s">
        <v>24</v>
      </c>
      <c r="I9" s="25" t="s">
        <v>25</v>
      </c>
      <c r="J9" s="25" t="s">
        <v>19</v>
      </c>
      <c r="K9" s="25" t="s">
        <v>20</v>
      </c>
      <c r="L9" s="25" t="s">
        <v>21</v>
      </c>
      <c r="M9" s="25" t="s">
        <v>22</v>
      </c>
      <c r="N9" s="25" t="s">
        <v>24</v>
      </c>
    </row>
    <row r="10" customFormat="false" ht="15" hidden="false" customHeight="false" outlineLevel="0" collapsed="false">
      <c r="A10" s="26" t="s">
        <v>26</v>
      </c>
      <c r="B10" s="27" t="n">
        <v>13830106</v>
      </c>
      <c r="C10" s="27" t="n">
        <v>39107602</v>
      </c>
      <c r="D10" s="28" t="n">
        <v>0.353642394130942</v>
      </c>
      <c r="E10" s="29" t="n">
        <v>7242</v>
      </c>
      <c r="F10" s="27" t="n">
        <v>4018521</v>
      </c>
      <c r="G10" s="27" t="n">
        <v>9811585</v>
      </c>
      <c r="I10" s="30" t="s">
        <v>27</v>
      </c>
      <c r="J10" s="27" t="n">
        <v>50750453</v>
      </c>
      <c r="K10" s="27" t="n">
        <v>120904785</v>
      </c>
      <c r="L10" s="28" t="n">
        <v>0.419755537384232</v>
      </c>
      <c r="M10" s="29" t="n">
        <v>23093</v>
      </c>
      <c r="N10" s="27" t="n">
        <v>38877528</v>
      </c>
    </row>
    <row r="11" customFormat="false" ht="15" hidden="false" customHeight="false" outlineLevel="0" collapsed="false">
      <c r="A11" s="31" t="s">
        <v>28</v>
      </c>
      <c r="B11" s="32" t="n">
        <v>17374718</v>
      </c>
      <c r="C11" s="32" t="n">
        <v>37861343</v>
      </c>
      <c r="D11" s="33" t="n">
        <v>0.458903901005308</v>
      </c>
      <c r="E11" s="34" t="n">
        <v>7731</v>
      </c>
      <c r="F11" s="32" t="n">
        <v>4070956</v>
      </c>
      <c r="G11" s="32" t="n">
        <v>13303762</v>
      </c>
      <c r="I11" s="35" t="s">
        <v>29</v>
      </c>
      <c r="J11" s="32" t="n">
        <v>49112161</v>
      </c>
      <c r="K11" s="32" t="n">
        <v>122547577</v>
      </c>
      <c r="L11" s="33" t="n">
        <v>0.400759951377904</v>
      </c>
      <c r="M11" s="34" t="n">
        <v>21463</v>
      </c>
      <c r="N11" s="32" t="n">
        <v>37126483</v>
      </c>
    </row>
    <row r="12" customFormat="false" ht="15" hidden="false" customHeight="false" outlineLevel="0" collapsed="false">
      <c r="A12" s="26" t="s">
        <v>30</v>
      </c>
      <c r="B12" s="27" t="n">
        <v>17025730</v>
      </c>
      <c r="C12" s="27" t="n">
        <v>38247090</v>
      </c>
      <c r="D12" s="28" t="n">
        <v>0.445150990572093</v>
      </c>
      <c r="E12" s="29" t="n">
        <v>7724</v>
      </c>
      <c r="F12" s="27" t="n">
        <v>3493018</v>
      </c>
      <c r="G12" s="27" t="n">
        <v>13532712</v>
      </c>
      <c r="I12" s="36" t="s">
        <v>31</v>
      </c>
      <c r="J12" s="27" t="n">
        <v>40462753</v>
      </c>
      <c r="K12" s="27" t="n">
        <v>118744399</v>
      </c>
      <c r="L12" s="28" t="n">
        <v>0.340755044791628</v>
      </c>
      <c r="M12" s="29" t="n">
        <v>21773</v>
      </c>
      <c r="N12" s="27" t="n">
        <v>29199076</v>
      </c>
    </row>
    <row r="13" customFormat="false" ht="15" hidden="false" customHeight="false" outlineLevel="0" collapsed="false">
      <c r="A13" s="31" t="s">
        <v>32</v>
      </c>
      <c r="B13" s="32" t="n">
        <v>14874430</v>
      </c>
      <c r="C13" s="32" t="n">
        <v>40903223</v>
      </c>
      <c r="D13" s="33" t="n">
        <v>0.36364933883083</v>
      </c>
      <c r="E13" s="34" t="n">
        <v>6737</v>
      </c>
      <c r="F13" s="32" t="n">
        <v>4002241</v>
      </c>
      <c r="G13" s="32" t="n">
        <v>10872189</v>
      </c>
      <c r="I13" s="37" t="s">
        <v>33</v>
      </c>
      <c r="J13" s="32" t="n">
        <v>47608625</v>
      </c>
      <c r="K13" s="32" t="n">
        <v>122881427</v>
      </c>
      <c r="L13" s="33" t="n">
        <v>0.387435482825244</v>
      </c>
      <c r="M13" s="34" t="n">
        <v>21930</v>
      </c>
      <c r="N13" s="32" t="n">
        <v>35100660</v>
      </c>
    </row>
    <row r="14" customFormat="false" ht="15" hidden="false" customHeight="false" outlineLevel="0" collapsed="false">
      <c r="A14" s="26" t="s">
        <v>34</v>
      </c>
      <c r="B14" s="27" t="n">
        <v>15586311</v>
      </c>
      <c r="C14" s="27" t="n">
        <v>44422939</v>
      </c>
      <c r="D14" s="28" t="n">
        <v>0.350861769861737</v>
      </c>
      <c r="E14" s="29" t="n">
        <v>7229</v>
      </c>
      <c r="F14" s="27" t="n">
        <v>4150167</v>
      </c>
      <c r="G14" s="27" t="n">
        <v>11436144</v>
      </c>
    </row>
    <row r="15" customFormat="false" ht="15" hidden="false" customHeight="false" outlineLevel="0" collapsed="false">
      <c r="A15" s="31" t="s">
        <v>35</v>
      </c>
      <c r="B15" s="32" t="n">
        <v>12262960</v>
      </c>
      <c r="C15" s="32" t="n">
        <v>41811761</v>
      </c>
      <c r="D15" s="33" t="n">
        <v>0.293289727739523</v>
      </c>
      <c r="E15" s="34" t="n">
        <v>7624</v>
      </c>
      <c r="F15" s="32" t="n">
        <v>3954860</v>
      </c>
      <c r="G15" s="32" t="n">
        <v>8308100</v>
      </c>
    </row>
    <row r="16" customFormat="false" ht="15" hidden="false" customHeight="false" outlineLevel="0" collapsed="false">
      <c r="A16" s="26" t="s">
        <v>36</v>
      </c>
      <c r="B16" s="27" t="n">
        <v>18462338</v>
      </c>
      <c r="C16" s="27" t="n">
        <v>39843393</v>
      </c>
      <c r="D16" s="28" t="n">
        <v>0.463372634956064</v>
      </c>
      <c r="E16" s="29" t="n">
        <v>7112</v>
      </c>
      <c r="F16" s="27" t="n">
        <v>3731919</v>
      </c>
      <c r="G16" s="27" t="n">
        <v>14730419</v>
      </c>
    </row>
    <row r="17" customFormat="false" ht="15" hidden="false" customHeight="false" outlineLevel="0" collapsed="false">
      <c r="A17" s="31" t="s">
        <v>37</v>
      </c>
      <c r="B17" s="32" t="n">
        <v>19783721</v>
      </c>
      <c r="C17" s="32" t="n">
        <v>38216231</v>
      </c>
      <c r="D17" s="33" t="n">
        <v>0.517678496343609</v>
      </c>
      <c r="E17" s="34" t="n">
        <v>8463</v>
      </c>
      <c r="F17" s="32" t="n">
        <v>3890666</v>
      </c>
      <c r="G17" s="32" t="n">
        <v>15893055</v>
      </c>
    </row>
    <row r="18" customFormat="false" ht="15" hidden="false" customHeight="false" outlineLevel="0" collapsed="false">
      <c r="A18" s="26" t="s">
        <v>38</v>
      </c>
      <c r="B18" s="27" t="n">
        <v>14458921</v>
      </c>
      <c r="C18" s="27" t="n">
        <v>44394420</v>
      </c>
      <c r="D18" s="28" t="n">
        <v>0.325692305474427</v>
      </c>
      <c r="E18" s="29" t="n">
        <v>7381</v>
      </c>
      <c r="F18" s="27" t="n">
        <v>4031580</v>
      </c>
      <c r="G18" s="27" t="n">
        <v>10427341</v>
      </c>
    </row>
    <row r="19" customFormat="false" ht="15" hidden="false" customHeight="false" outlineLevel="0" collapsed="false">
      <c r="A19" s="31" t="s">
        <v>39</v>
      </c>
      <c r="B19" s="32" t="n">
        <v>14184098</v>
      </c>
      <c r="C19" s="32" t="n">
        <v>42574981</v>
      </c>
      <c r="D19" s="33" t="n">
        <v>0.33315570945293</v>
      </c>
      <c r="E19" s="34" t="n">
        <v>7534</v>
      </c>
      <c r="F19" s="32" t="n">
        <v>4060669</v>
      </c>
      <c r="G19" s="32" t="n">
        <v>10123429</v>
      </c>
    </row>
    <row r="20" customFormat="false" ht="15" hidden="false" customHeight="false" outlineLevel="0" collapsed="false">
      <c r="A20" s="26" t="s">
        <v>40</v>
      </c>
      <c r="B20" s="27" t="n">
        <v>13809449</v>
      </c>
      <c r="C20" s="27" t="n">
        <v>36236684</v>
      </c>
      <c r="D20" s="28" t="n">
        <v>0.381090306165984</v>
      </c>
      <c r="E20" s="29" t="n">
        <v>7205</v>
      </c>
      <c r="F20" s="27" t="n">
        <v>4068949</v>
      </c>
      <c r="G20" s="27" t="n">
        <v>9740500</v>
      </c>
    </row>
    <row r="21" customFormat="false" ht="15" hidden="false" customHeight="false" outlineLevel="0" collapsed="false">
      <c r="A21" s="31" t="s">
        <v>41</v>
      </c>
      <c r="B21" s="32" t="n">
        <v>16281210</v>
      </c>
      <c r="C21" s="32" t="n">
        <v>41458521</v>
      </c>
      <c r="D21" s="33" t="n">
        <v>0.392710825357229</v>
      </c>
      <c r="E21" s="34" t="n">
        <v>6277</v>
      </c>
      <c r="F21" s="32" t="n">
        <v>4156699</v>
      </c>
      <c r="G21" s="32" t="n">
        <v>12124511</v>
      </c>
    </row>
  </sheetData>
  <mergeCells count="25">
    <mergeCell ref="A1:N1"/>
    <mergeCell ref="A2:N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8:G8"/>
    <mergeCell ref="I8:N8"/>
  </mergeCells>
  <conditionalFormatting sqref="D10:D21">
    <cfRule type="colorScale" priority="2">
      <colorScale>
        <cfvo type="min" val="0"/>
        <cfvo type="percentile" val="50"/>
        <cfvo type="max" val="0"/>
        <color rgb="FFEF4444"/>
        <color rgb="FFF59E0B"/>
        <color rgb="FF22C55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1" min="10" style="0" width="16"/>
  </cols>
  <sheetData>
    <row r="1" customFormat="false" ht="21.75" hidden="false" customHeight="true" outlineLevel="0" collapsed="false">
      <c r="A1" s="38" t="s">
        <v>18</v>
      </c>
      <c r="B1" s="38" t="s">
        <v>25</v>
      </c>
      <c r="C1" s="38" t="s">
        <v>42</v>
      </c>
      <c r="D1" s="38" t="s">
        <v>43</v>
      </c>
      <c r="E1" s="38" t="s">
        <v>44</v>
      </c>
      <c r="F1" s="38" t="s">
        <v>45</v>
      </c>
      <c r="G1" s="38" t="s">
        <v>46</v>
      </c>
      <c r="H1" s="38" t="s">
        <v>47</v>
      </c>
      <c r="I1" s="38" t="s">
        <v>48</v>
      </c>
      <c r="J1" s="38" t="s">
        <v>49</v>
      </c>
      <c r="K1" s="38" t="s">
        <v>50</v>
      </c>
    </row>
    <row r="2" customFormat="false" ht="15" hidden="false" customHeight="false" outlineLevel="0" collapsed="false">
      <c r="A2" s="39" t="s">
        <v>26</v>
      </c>
      <c r="B2" s="39" t="s">
        <v>29</v>
      </c>
      <c r="C2" s="39" t="s">
        <v>51</v>
      </c>
      <c r="D2" s="39" t="s">
        <v>52</v>
      </c>
      <c r="E2" s="40" t="n">
        <v>377</v>
      </c>
      <c r="F2" s="40" t="n">
        <v>500</v>
      </c>
      <c r="G2" s="41" t="n">
        <v>188500</v>
      </c>
      <c r="H2" s="41" t="n">
        <v>552451</v>
      </c>
      <c r="I2" s="42" t="n">
        <v>0.341206731456727</v>
      </c>
      <c r="J2" s="41" t="n">
        <v>122097</v>
      </c>
      <c r="K2" s="41" t="n">
        <v>66403</v>
      </c>
    </row>
    <row r="3" customFormat="false" ht="15" hidden="false" customHeight="false" outlineLevel="0" collapsed="false">
      <c r="A3" s="43" t="s">
        <v>26</v>
      </c>
      <c r="B3" s="43" t="s">
        <v>29</v>
      </c>
      <c r="C3" s="43" t="s">
        <v>51</v>
      </c>
      <c r="D3" s="43" t="s">
        <v>53</v>
      </c>
      <c r="E3" s="44" t="n">
        <v>175</v>
      </c>
      <c r="F3" s="44" t="n">
        <v>999</v>
      </c>
      <c r="G3" s="45" t="n">
        <v>174825</v>
      </c>
      <c r="H3" s="45" t="n">
        <v>792632</v>
      </c>
      <c r="I3" s="46" t="n">
        <v>0.220562631839239</v>
      </c>
      <c r="J3" s="45" t="n">
        <v>76868</v>
      </c>
      <c r="K3" s="45" t="n">
        <v>97957</v>
      </c>
    </row>
    <row r="4" customFormat="false" ht="15" hidden="false" customHeight="false" outlineLevel="0" collapsed="false">
      <c r="A4" s="39" t="s">
        <v>26</v>
      </c>
      <c r="B4" s="39" t="s">
        <v>29</v>
      </c>
      <c r="C4" s="39" t="s">
        <v>51</v>
      </c>
      <c r="D4" s="39" t="s">
        <v>54</v>
      </c>
      <c r="E4" s="40" t="n">
        <v>396</v>
      </c>
      <c r="F4" s="40" t="n">
        <v>4999</v>
      </c>
      <c r="G4" s="41" t="n">
        <v>1979604</v>
      </c>
      <c r="H4" s="41" t="n">
        <v>682323</v>
      </c>
      <c r="I4" s="42" t="n">
        <v>2.90127109887839</v>
      </c>
      <c r="J4" s="41" t="n">
        <v>160604</v>
      </c>
      <c r="K4" s="41" t="n">
        <v>1819000</v>
      </c>
    </row>
    <row r="5" customFormat="false" ht="15" hidden="false" customHeight="false" outlineLevel="0" collapsed="false">
      <c r="A5" s="43" t="s">
        <v>26</v>
      </c>
      <c r="B5" s="43" t="s">
        <v>29</v>
      </c>
      <c r="C5" s="43" t="s">
        <v>51</v>
      </c>
      <c r="D5" s="43" t="s">
        <v>55</v>
      </c>
      <c r="E5" s="44" t="n">
        <v>66</v>
      </c>
      <c r="F5" s="44" t="n">
        <v>500</v>
      </c>
      <c r="G5" s="45" t="n">
        <v>33000</v>
      </c>
      <c r="H5" s="45" t="n">
        <v>696493</v>
      </c>
      <c r="I5" s="46" t="n">
        <v>0.0473802321057067</v>
      </c>
      <c r="J5" s="45" t="n">
        <v>107314</v>
      </c>
      <c r="K5" s="45" t="n">
        <v>-74314</v>
      </c>
    </row>
    <row r="6" customFormat="false" ht="15" hidden="false" customHeight="false" outlineLevel="0" collapsed="false">
      <c r="A6" s="39" t="s">
        <v>26</v>
      </c>
      <c r="B6" s="39" t="s">
        <v>29</v>
      </c>
      <c r="C6" s="39" t="s">
        <v>56</v>
      </c>
      <c r="D6" s="39" t="s">
        <v>52</v>
      </c>
      <c r="E6" s="40" t="n">
        <v>169</v>
      </c>
      <c r="F6" s="40" t="n">
        <v>4999</v>
      </c>
      <c r="G6" s="41" t="n">
        <v>844831</v>
      </c>
      <c r="H6" s="41" t="n">
        <v>1762524</v>
      </c>
      <c r="I6" s="42" t="n">
        <v>0.479330210538977</v>
      </c>
      <c r="J6" s="41" t="n">
        <v>56956</v>
      </c>
      <c r="K6" s="41" t="n">
        <v>787875</v>
      </c>
    </row>
    <row r="7" customFormat="false" ht="15" hidden="false" customHeight="false" outlineLevel="0" collapsed="false">
      <c r="A7" s="43" t="s">
        <v>26</v>
      </c>
      <c r="B7" s="43" t="s">
        <v>29</v>
      </c>
      <c r="C7" s="43" t="s">
        <v>56</v>
      </c>
      <c r="D7" s="43" t="s">
        <v>53</v>
      </c>
      <c r="E7" s="44" t="n">
        <v>337</v>
      </c>
      <c r="F7" s="44" t="n">
        <v>999</v>
      </c>
      <c r="G7" s="45" t="n">
        <v>336663</v>
      </c>
      <c r="H7" s="45" t="n">
        <v>1862906</v>
      </c>
      <c r="I7" s="46" t="n">
        <v>0.180719263344474</v>
      </c>
      <c r="J7" s="45" t="n">
        <v>192853</v>
      </c>
      <c r="K7" s="45" t="n">
        <v>143810</v>
      </c>
    </row>
    <row r="8" customFormat="false" ht="15" hidden="false" customHeight="false" outlineLevel="0" collapsed="false">
      <c r="A8" s="39" t="s">
        <v>26</v>
      </c>
      <c r="B8" s="39" t="s">
        <v>29</v>
      </c>
      <c r="C8" s="39" t="s">
        <v>56</v>
      </c>
      <c r="D8" s="39" t="s">
        <v>54</v>
      </c>
      <c r="E8" s="40" t="n">
        <v>264</v>
      </c>
      <c r="F8" s="40" t="n">
        <v>999</v>
      </c>
      <c r="G8" s="41" t="n">
        <v>263736</v>
      </c>
      <c r="H8" s="41" t="n">
        <v>1442059</v>
      </c>
      <c r="I8" s="42" t="n">
        <v>0.182888494853539</v>
      </c>
      <c r="J8" s="41" t="n">
        <v>122926</v>
      </c>
      <c r="K8" s="41" t="n">
        <v>140810</v>
      </c>
    </row>
    <row r="9" customFormat="false" ht="15" hidden="false" customHeight="false" outlineLevel="0" collapsed="false">
      <c r="A9" s="43" t="s">
        <v>26</v>
      </c>
      <c r="B9" s="43" t="s">
        <v>29</v>
      </c>
      <c r="C9" s="43" t="s">
        <v>56</v>
      </c>
      <c r="D9" s="43" t="s">
        <v>55</v>
      </c>
      <c r="E9" s="44" t="n">
        <v>53</v>
      </c>
      <c r="F9" s="44" t="n">
        <v>999</v>
      </c>
      <c r="G9" s="45" t="n">
        <v>52947</v>
      </c>
      <c r="H9" s="45" t="n">
        <v>1964104</v>
      </c>
      <c r="I9" s="46" t="n">
        <v>0.026957330161743</v>
      </c>
      <c r="J9" s="45" t="n">
        <v>160785</v>
      </c>
      <c r="K9" s="45" t="n">
        <v>-107838</v>
      </c>
    </row>
    <row r="10" customFormat="false" ht="15" hidden="false" customHeight="false" outlineLevel="0" collapsed="false">
      <c r="A10" s="39" t="s">
        <v>26</v>
      </c>
      <c r="B10" s="39" t="s">
        <v>31</v>
      </c>
      <c r="C10" s="39" t="s">
        <v>57</v>
      </c>
      <c r="D10" s="39" t="s">
        <v>52</v>
      </c>
      <c r="E10" s="40" t="n">
        <v>224</v>
      </c>
      <c r="F10" s="40" t="n">
        <v>1499</v>
      </c>
      <c r="G10" s="41" t="n">
        <v>335776</v>
      </c>
      <c r="H10" s="41" t="n">
        <v>826064</v>
      </c>
      <c r="I10" s="42" t="n">
        <v>0.406476979991865</v>
      </c>
      <c r="J10" s="41" t="n">
        <v>106443</v>
      </c>
      <c r="K10" s="41" t="n">
        <v>229333</v>
      </c>
    </row>
    <row r="11" customFormat="false" ht="15" hidden="false" customHeight="false" outlineLevel="0" collapsed="false">
      <c r="A11" s="43" t="s">
        <v>26</v>
      </c>
      <c r="B11" s="43" t="s">
        <v>31</v>
      </c>
      <c r="C11" s="43" t="s">
        <v>57</v>
      </c>
      <c r="D11" s="43" t="s">
        <v>53</v>
      </c>
      <c r="E11" s="44" t="n">
        <v>222</v>
      </c>
      <c r="F11" s="44" t="n">
        <v>500</v>
      </c>
      <c r="G11" s="45" t="n">
        <v>111000</v>
      </c>
      <c r="H11" s="45" t="n">
        <v>694502</v>
      </c>
      <c r="I11" s="46" t="n">
        <v>0.159826753558665</v>
      </c>
      <c r="J11" s="45" t="n">
        <v>149595</v>
      </c>
      <c r="K11" s="45" t="n">
        <v>-38595</v>
      </c>
    </row>
    <row r="12" customFormat="false" ht="15" hidden="false" customHeight="false" outlineLevel="0" collapsed="false">
      <c r="A12" s="39" t="s">
        <v>26</v>
      </c>
      <c r="B12" s="39" t="s">
        <v>31</v>
      </c>
      <c r="C12" s="39" t="s">
        <v>57</v>
      </c>
      <c r="D12" s="39" t="s">
        <v>54</v>
      </c>
      <c r="E12" s="40" t="n">
        <v>99</v>
      </c>
      <c r="F12" s="40" t="n">
        <v>1499</v>
      </c>
      <c r="G12" s="41" t="n">
        <v>148401</v>
      </c>
      <c r="H12" s="41" t="n">
        <v>1221327</v>
      </c>
      <c r="I12" s="42" t="n">
        <v>0.12150799908624</v>
      </c>
      <c r="J12" s="41" t="n">
        <v>119342</v>
      </c>
      <c r="K12" s="41" t="n">
        <v>29059</v>
      </c>
    </row>
    <row r="13" customFormat="false" ht="15" hidden="false" customHeight="false" outlineLevel="0" collapsed="false">
      <c r="A13" s="43" t="s">
        <v>26</v>
      </c>
      <c r="B13" s="43" t="s">
        <v>31</v>
      </c>
      <c r="C13" s="43" t="s">
        <v>57</v>
      </c>
      <c r="D13" s="43" t="s">
        <v>55</v>
      </c>
      <c r="E13" s="44" t="n">
        <v>72</v>
      </c>
      <c r="F13" s="44" t="n">
        <v>2499</v>
      </c>
      <c r="G13" s="45" t="n">
        <v>179928</v>
      </c>
      <c r="H13" s="45" t="n">
        <v>1624551</v>
      </c>
      <c r="I13" s="46" t="n">
        <v>0.110755525680634</v>
      </c>
      <c r="J13" s="45" t="n">
        <v>82722</v>
      </c>
      <c r="K13" s="45" t="n">
        <v>97206</v>
      </c>
    </row>
    <row r="14" customFormat="false" ht="15" hidden="false" customHeight="false" outlineLevel="0" collapsed="false">
      <c r="A14" s="39" t="s">
        <v>26</v>
      </c>
      <c r="B14" s="39" t="s">
        <v>31</v>
      </c>
      <c r="C14" s="39" t="s">
        <v>58</v>
      </c>
      <c r="D14" s="39" t="s">
        <v>52</v>
      </c>
      <c r="E14" s="40" t="n">
        <v>243</v>
      </c>
      <c r="F14" s="40" t="n">
        <v>500</v>
      </c>
      <c r="G14" s="41" t="n">
        <v>121500</v>
      </c>
      <c r="H14" s="41" t="n">
        <v>1657713</v>
      </c>
      <c r="I14" s="42" t="n">
        <v>0.0732937486766407</v>
      </c>
      <c r="J14" s="41" t="n">
        <v>126854</v>
      </c>
      <c r="K14" s="41" t="n">
        <v>-5354</v>
      </c>
    </row>
    <row r="15" customFormat="false" ht="15" hidden="false" customHeight="false" outlineLevel="0" collapsed="false">
      <c r="A15" s="43" t="s">
        <v>26</v>
      </c>
      <c r="B15" s="43" t="s">
        <v>31</v>
      </c>
      <c r="C15" s="43" t="s">
        <v>58</v>
      </c>
      <c r="D15" s="43" t="s">
        <v>53</v>
      </c>
      <c r="E15" s="44" t="n">
        <v>371</v>
      </c>
      <c r="F15" s="44" t="n">
        <v>4999</v>
      </c>
      <c r="G15" s="45" t="n">
        <v>1854629</v>
      </c>
      <c r="H15" s="45" t="n">
        <v>1258403</v>
      </c>
      <c r="I15" s="46" t="n">
        <v>1.47379575541381</v>
      </c>
      <c r="J15" s="45" t="n">
        <v>100407</v>
      </c>
      <c r="K15" s="45" t="n">
        <v>1754222</v>
      </c>
    </row>
    <row r="16" customFormat="false" ht="15" hidden="false" customHeight="false" outlineLevel="0" collapsed="false">
      <c r="A16" s="39" t="s">
        <v>26</v>
      </c>
      <c r="B16" s="39" t="s">
        <v>31</v>
      </c>
      <c r="C16" s="39" t="s">
        <v>58</v>
      </c>
      <c r="D16" s="39" t="s">
        <v>54</v>
      </c>
      <c r="E16" s="40" t="n">
        <v>85</v>
      </c>
      <c r="F16" s="40" t="n">
        <v>500</v>
      </c>
      <c r="G16" s="41" t="n">
        <v>42500</v>
      </c>
      <c r="H16" s="41" t="n">
        <v>1886769</v>
      </c>
      <c r="I16" s="42" t="n">
        <v>0.0225252799892303</v>
      </c>
      <c r="J16" s="41" t="n">
        <v>109742</v>
      </c>
      <c r="K16" s="41" t="n">
        <v>-67242</v>
      </c>
    </row>
    <row r="17" customFormat="false" ht="15" hidden="false" customHeight="false" outlineLevel="0" collapsed="false">
      <c r="A17" s="43" t="s">
        <v>26</v>
      </c>
      <c r="B17" s="43" t="s">
        <v>31</v>
      </c>
      <c r="C17" s="43" t="s">
        <v>58</v>
      </c>
      <c r="D17" s="43" t="s">
        <v>55</v>
      </c>
      <c r="E17" s="44" t="n">
        <v>198</v>
      </c>
      <c r="F17" s="44" t="n">
        <v>500</v>
      </c>
      <c r="G17" s="45" t="n">
        <v>99000</v>
      </c>
      <c r="H17" s="45" t="n">
        <v>988197</v>
      </c>
      <c r="I17" s="46" t="n">
        <v>0.100182453498645</v>
      </c>
      <c r="J17" s="45" t="n">
        <v>76476</v>
      </c>
      <c r="K17" s="45" t="n">
        <v>22524</v>
      </c>
    </row>
    <row r="18" customFormat="false" ht="15" hidden="false" customHeight="false" outlineLevel="0" collapsed="false">
      <c r="A18" s="39" t="s">
        <v>26</v>
      </c>
      <c r="B18" s="39" t="s">
        <v>27</v>
      </c>
      <c r="C18" s="39" t="s">
        <v>59</v>
      </c>
      <c r="D18" s="39" t="s">
        <v>52</v>
      </c>
      <c r="E18" s="40" t="n">
        <v>244</v>
      </c>
      <c r="F18" s="40" t="n">
        <v>1499</v>
      </c>
      <c r="G18" s="41" t="n">
        <v>365756</v>
      </c>
      <c r="H18" s="41" t="n">
        <v>1450870</v>
      </c>
      <c r="I18" s="42" t="n">
        <v>0.252094260684968</v>
      </c>
      <c r="J18" s="41" t="n">
        <v>145638</v>
      </c>
      <c r="K18" s="41" t="n">
        <v>220118</v>
      </c>
    </row>
    <row r="19" customFormat="false" ht="15" hidden="false" customHeight="false" outlineLevel="0" collapsed="false">
      <c r="A19" s="43" t="s">
        <v>26</v>
      </c>
      <c r="B19" s="43" t="s">
        <v>27</v>
      </c>
      <c r="C19" s="43" t="s">
        <v>59</v>
      </c>
      <c r="D19" s="43" t="s">
        <v>53</v>
      </c>
      <c r="E19" s="44" t="n">
        <v>133</v>
      </c>
      <c r="F19" s="44" t="n">
        <v>1499</v>
      </c>
      <c r="G19" s="45" t="n">
        <v>199367</v>
      </c>
      <c r="H19" s="45" t="n">
        <v>1245056</v>
      </c>
      <c r="I19" s="46" t="n">
        <v>0.160126934049553</v>
      </c>
      <c r="J19" s="45" t="n">
        <v>104921</v>
      </c>
      <c r="K19" s="45" t="n">
        <v>94446</v>
      </c>
    </row>
    <row r="20" customFormat="false" ht="15" hidden="false" customHeight="false" outlineLevel="0" collapsed="false">
      <c r="A20" s="39" t="s">
        <v>26</v>
      </c>
      <c r="B20" s="39" t="s">
        <v>27</v>
      </c>
      <c r="C20" s="39" t="s">
        <v>59</v>
      </c>
      <c r="D20" s="39" t="s">
        <v>54</v>
      </c>
      <c r="E20" s="40" t="n">
        <v>393</v>
      </c>
      <c r="F20" s="40" t="n">
        <v>1499</v>
      </c>
      <c r="G20" s="41" t="n">
        <v>589107</v>
      </c>
      <c r="H20" s="41" t="n">
        <v>1971823</v>
      </c>
      <c r="I20" s="42" t="n">
        <v>0.298762617131457</v>
      </c>
      <c r="J20" s="41" t="n">
        <v>68717</v>
      </c>
      <c r="K20" s="41" t="n">
        <v>520390</v>
      </c>
    </row>
    <row r="21" customFormat="false" ht="15" hidden="false" customHeight="false" outlineLevel="0" collapsed="false">
      <c r="A21" s="43" t="s">
        <v>26</v>
      </c>
      <c r="B21" s="43" t="s">
        <v>27</v>
      </c>
      <c r="C21" s="43" t="s">
        <v>59</v>
      </c>
      <c r="D21" s="43" t="s">
        <v>55</v>
      </c>
      <c r="E21" s="44" t="n">
        <v>361</v>
      </c>
      <c r="F21" s="44" t="n">
        <v>999</v>
      </c>
      <c r="G21" s="45" t="n">
        <v>360639</v>
      </c>
      <c r="H21" s="45" t="n">
        <v>1620172</v>
      </c>
      <c r="I21" s="46" t="n">
        <v>0.222593033332264</v>
      </c>
      <c r="J21" s="45" t="n">
        <v>114175</v>
      </c>
      <c r="K21" s="45" t="n">
        <v>246464</v>
      </c>
    </row>
    <row r="22" customFormat="false" ht="15" hidden="false" customHeight="false" outlineLevel="0" collapsed="false">
      <c r="A22" s="39" t="s">
        <v>26</v>
      </c>
      <c r="B22" s="39" t="s">
        <v>27</v>
      </c>
      <c r="C22" s="39" t="s">
        <v>60</v>
      </c>
      <c r="D22" s="39" t="s">
        <v>52</v>
      </c>
      <c r="E22" s="40" t="n">
        <v>133</v>
      </c>
      <c r="F22" s="40" t="n">
        <v>2499</v>
      </c>
      <c r="G22" s="41" t="n">
        <v>332367</v>
      </c>
      <c r="H22" s="41" t="n">
        <v>1295775</v>
      </c>
      <c r="I22" s="42" t="n">
        <v>0.256500549863981</v>
      </c>
      <c r="J22" s="41" t="n">
        <v>120765</v>
      </c>
      <c r="K22" s="41" t="n">
        <v>211602</v>
      </c>
    </row>
    <row r="23" customFormat="false" ht="15" hidden="false" customHeight="false" outlineLevel="0" collapsed="false">
      <c r="A23" s="43" t="s">
        <v>26</v>
      </c>
      <c r="B23" s="43" t="s">
        <v>27</v>
      </c>
      <c r="C23" s="43" t="s">
        <v>60</v>
      </c>
      <c r="D23" s="43" t="s">
        <v>53</v>
      </c>
      <c r="E23" s="44" t="n">
        <v>377</v>
      </c>
      <c r="F23" s="44" t="n">
        <v>4999</v>
      </c>
      <c r="G23" s="45" t="n">
        <v>1884623</v>
      </c>
      <c r="H23" s="45" t="n">
        <v>960566</v>
      </c>
      <c r="I23" s="46" t="n">
        <v>1.96199220043183</v>
      </c>
      <c r="J23" s="45" t="n">
        <v>135008</v>
      </c>
      <c r="K23" s="45" t="n">
        <v>1749615</v>
      </c>
    </row>
    <row r="24" customFormat="false" ht="15" hidden="false" customHeight="false" outlineLevel="0" collapsed="false">
      <c r="A24" s="39" t="s">
        <v>26</v>
      </c>
      <c r="B24" s="39" t="s">
        <v>27</v>
      </c>
      <c r="C24" s="39" t="s">
        <v>60</v>
      </c>
      <c r="D24" s="39" t="s">
        <v>54</v>
      </c>
      <c r="E24" s="40" t="n">
        <v>78</v>
      </c>
      <c r="F24" s="40" t="n">
        <v>999</v>
      </c>
      <c r="G24" s="41" t="n">
        <v>77922</v>
      </c>
      <c r="H24" s="41" t="n">
        <v>567319</v>
      </c>
      <c r="I24" s="42" t="n">
        <v>0.137351296184334</v>
      </c>
      <c r="J24" s="41" t="n">
        <v>132694</v>
      </c>
      <c r="K24" s="41" t="n">
        <v>-54772</v>
      </c>
    </row>
    <row r="25" customFormat="false" ht="15" hidden="false" customHeight="false" outlineLevel="0" collapsed="false">
      <c r="A25" s="43" t="s">
        <v>26</v>
      </c>
      <c r="B25" s="43" t="s">
        <v>27</v>
      </c>
      <c r="C25" s="43" t="s">
        <v>60</v>
      </c>
      <c r="D25" s="43" t="s">
        <v>55</v>
      </c>
      <c r="E25" s="44" t="n">
        <v>255</v>
      </c>
      <c r="F25" s="44" t="n">
        <v>1499</v>
      </c>
      <c r="G25" s="45" t="n">
        <v>382245</v>
      </c>
      <c r="H25" s="45" t="n">
        <v>638807</v>
      </c>
      <c r="I25" s="46" t="n">
        <v>0.598373217575888</v>
      </c>
      <c r="J25" s="45" t="n">
        <v>105307</v>
      </c>
      <c r="K25" s="45" t="n">
        <v>276938</v>
      </c>
    </row>
    <row r="26" customFormat="false" ht="15" hidden="false" customHeight="false" outlineLevel="0" collapsed="false">
      <c r="A26" s="39" t="s">
        <v>26</v>
      </c>
      <c r="B26" s="39" t="s">
        <v>33</v>
      </c>
      <c r="C26" s="39" t="s">
        <v>61</v>
      </c>
      <c r="D26" s="39" t="s">
        <v>52</v>
      </c>
      <c r="E26" s="40" t="n">
        <v>340</v>
      </c>
      <c r="F26" s="40" t="n">
        <v>1499</v>
      </c>
      <c r="G26" s="41" t="n">
        <v>509660</v>
      </c>
      <c r="H26" s="41" t="n">
        <v>945910</v>
      </c>
      <c r="I26" s="42" t="n">
        <v>0.538803903119747</v>
      </c>
      <c r="J26" s="41" t="n">
        <v>180870</v>
      </c>
      <c r="K26" s="41" t="n">
        <v>328790</v>
      </c>
    </row>
    <row r="27" customFormat="false" ht="15" hidden="false" customHeight="false" outlineLevel="0" collapsed="false">
      <c r="A27" s="43" t="s">
        <v>26</v>
      </c>
      <c r="B27" s="43" t="s">
        <v>33</v>
      </c>
      <c r="C27" s="43" t="s">
        <v>61</v>
      </c>
      <c r="D27" s="43" t="s">
        <v>53</v>
      </c>
      <c r="E27" s="44" t="n">
        <v>252</v>
      </c>
      <c r="F27" s="44" t="n">
        <v>2499</v>
      </c>
      <c r="G27" s="45" t="n">
        <v>629748</v>
      </c>
      <c r="H27" s="45" t="n">
        <v>799623</v>
      </c>
      <c r="I27" s="46" t="n">
        <v>0.787556135829009</v>
      </c>
      <c r="J27" s="45" t="n">
        <v>119436</v>
      </c>
      <c r="K27" s="45" t="n">
        <v>510312</v>
      </c>
    </row>
    <row r="28" customFormat="false" ht="15" hidden="false" customHeight="false" outlineLevel="0" collapsed="false">
      <c r="A28" s="39" t="s">
        <v>26</v>
      </c>
      <c r="B28" s="39" t="s">
        <v>33</v>
      </c>
      <c r="C28" s="39" t="s">
        <v>61</v>
      </c>
      <c r="D28" s="39" t="s">
        <v>54</v>
      </c>
      <c r="E28" s="40" t="n">
        <v>121</v>
      </c>
      <c r="F28" s="40" t="n">
        <v>999</v>
      </c>
      <c r="G28" s="41" t="n">
        <v>120879</v>
      </c>
      <c r="H28" s="41" t="n">
        <v>1677274</v>
      </c>
      <c r="I28" s="42" t="n">
        <v>0.0720687258015089</v>
      </c>
      <c r="J28" s="41" t="n">
        <v>191289</v>
      </c>
      <c r="K28" s="41" t="n">
        <v>-70410</v>
      </c>
    </row>
    <row r="29" customFormat="false" ht="15" hidden="false" customHeight="false" outlineLevel="0" collapsed="false">
      <c r="A29" s="43" t="s">
        <v>26</v>
      </c>
      <c r="B29" s="43" t="s">
        <v>33</v>
      </c>
      <c r="C29" s="43" t="s">
        <v>61</v>
      </c>
      <c r="D29" s="43" t="s">
        <v>55</v>
      </c>
      <c r="E29" s="44" t="n">
        <v>184</v>
      </c>
      <c r="F29" s="44" t="n">
        <v>4999</v>
      </c>
      <c r="G29" s="45" t="n">
        <v>919816</v>
      </c>
      <c r="H29" s="45" t="n">
        <v>1398490</v>
      </c>
      <c r="I29" s="46" t="n">
        <v>0.657720827463908</v>
      </c>
      <c r="J29" s="45" t="n">
        <v>154700</v>
      </c>
      <c r="K29" s="45" t="n">
        <v>765116</v>
      </c>
    </row>
    <row r="30" customFormat="false" ht="15" hidden="false" customHeight="false" outlineLevel="0" collapsed="false">
      <c r="A30" s="39" t="s">
        <v>26</v>
      </c>
      <c r="B30" s="39" t="s">
        <v>33</v>
      </c>
      <c r="C30" s="39" t="s">
        <v>62</v>
      </c>
      <c r="D30" s="39" t="s">
        <v>52</v>
      </c>
      <c r="E30" s="40" t="n">
        <v>235</v>
      </c>
      <c r="F30" s="40" t="n">
        <v>999</v>
      </c>
      <c r="G30" s="41" t="n">
        <v>234765</v>
      </c>
      <c r="H30" s="41" t="n">
        <v>790102</v>
      </c>
      <c r="I30" s="42" t="n">
        <v>0.297132522130054</v>
      </c>
      <c r="J30" s="41" t="n">
        <v>183569</v>
      </c>
      <c r="K30" s="41" t="n">
        <v>51196</v>
      </c>
    </row>
    <row r="31" customFormat="false" ht="15" hidden="false" customHeight="false" outlineLevel="0" collapsed="false">
      <c r="A31" s="43" t="s">
        <v>26</v>
      </c>
      <c r="B31" s="43" t="s">
        <v>33</v>
      </c>
      <c r="C31" s="43" t="s">
        <v>62</v>
      </c>
      <c r="D31" s="43" t="s">
        <v>53</v>
      </c>
      <c r="E31" s="44" t="n">
        <v>302</v>
      </c>
      <c r="F31" s="44" t="n">
        <v>500</v>
      </c>
      <c r="G31" s="45" t="n">
        <v>151000</v>
      </c>
      <c r="H31" s="45" t="n">
        <v>598810</v>
      </c>
      <c r="I31" s="46" t="n">
        <v>0.252166797481672</v>
      </c>
      <c r="J31" s="45" t="n">
        <v>78743</v>
      </c>
      <c r="K31" s="45" t="n">
        <v>72257</v>
      </c>
    </row>
    <row r="32" customFormat="false" ht="15" hidden="false" customHeight="false" outlineLevel="0" collapsed="false">
      <c r="A32" s="39" t="s">
        <v>26</v>
      </c>
      <c r="B32" s="39" t="s">
        <v>33</v>
      </c>
      <c r="C32" s="39" t="s">
        <v>62</v>
      </c>
      <c r="D32" s="39" t="s">
        <v>54</v>
      </c>
      <c r="E32" s="40" t="n">
        <v>128</v>
      </c>
      <c r="F32" s="40" t="n">
        <v>999</v>
      </c>
      <c r="G32" s="41" t="n">
        <v>127872</v>
      </c>
      <c r="H32" s="41" t="n">
        <v>1927072</v>
      </c>
      <c r="I32" s="42" t="n">
        <v>0.0663555902426064</v>
      </c>
      <c r="J32" s="41" t="n">
        <v>160666</v>
      </c>
      <c r="K32" s="41" t="n">
        <v>-32794</v>
      </c>
    </row>
    <row r="33" customFormat="false" ht="15" hidden="false" customHeight="false" outlineLevel="0" collapsed="false">
      <c r="A33" s="43" t="s">
        <v>26</v>
      </c>
      <c r="B33" s="43" t="s">
        <v>33</v>
      </c>
      <c r="C33" s="43" t="s">
        <v>62</v>
      </c>
      <c r="D33" s="43" t="s">
        <v>55</v>
      </c>
      <c r="E33" s="44" t="n">
        <v>355</v>
      </c>
      <c r="F33" s="44" t="n">
        <v>500</v>
      </c>
      <c r="G33" s="45" t="n">
        <v>177500</v>
      </c>
      <c r="H33" s="45" t="n">
        <v>1306915</v>
      </c>
      <c r="I33" s="46" t="n">
        <v>0.1358160247606</v>
      </c>
      <c r="J33" s="45" t="n">
        <v>150039</v>
      </c>
      <c r="K33" s="45" t="n">
        <v>27461</v>
      </c>
    </row>
    <row r="34" customFormat="false" ht="15" hidden="false" customHeight="false" outlineLevel="0" collapsed="false">
      <c r="A34" s="39" t="s">
        <v>28</v>
      </c>
      <c r="B34" s="39" t="s">
        <v>29</v>
      </c>
      <c r="C34" s="39" t="s">
        <v>51</v>
      </c>
      <c r="D34" s="39" t="s">
        <v>52</v>
      </c>
      <c r="E34" s="40" t="n">
        <v>355</v>
      </c>
      <c r="F34" s="40" t="n">
        <v>2499</v>
      </c>
      <c r="G34" s="41" t="n">
        <v>887145</v>
      </c>
      <c r="H34" s="41" t="n">
        <v>1609633</v>
      </c>
      <c r="I34" s="42" t="n">
        <v>0.551147373345353</v>
      </c>
      <c r="J34" s="41" t="n">
        <v>115906</v>
      </c>
      <c r="K34" s="41" t="n">
        <v>771239</v>
      </c>
    </row>
    <row r="35" customFormat="false" ht="15" hidden="false" customHeight="false" outlineLevel="0" collapsed="false">
      <c r="A35" s="43" t="s">
        <v>28</v>
      </c>
      <c r="B35" s="43" t="s">
        <v>29</v>
      </c>
      <c r="C35" s="43" t="s">
        <v>51</v>
      </c>
      <c r="D35" s="43" t="s">
        <v>53</v>
      </c>
      <c r="E35" s="44" t="n">
        <v>333</v>
      </c>
      <c r="F35" s="44" t="n">
        <v>500</v>
      </c>
      <c r="G35" s="45" t="n">
        <v>166500</v>
      </c>
      <c r="H35" s="45" t="n">
        <v>1926657</v>
      </c>
      <c r="I35" s="46" t="n">
        <v>0.0864191187118413</v>
      </c>
      <c r="J35" s="45" t="n">
        <v>80029</v>
      </c>
      <c r="K35" s="45" t="n">
        <v>86471</v>
      </c>
    </row>
    <row r="36" customFormat="false" ht="15" hidden="false" customHeight="false" outlineLevel="0" collapsed="false">
      <c r="A36" s="39" t="s">
        <v>28</v>
      </c>
      <c r="B36" s="39" t="s">
        <v>29</v>
      </c>
      <c r="C36" s="39" t="s">
        <v>51</v>
      </c>
      <c r="D36" s="39" t="s">
        <v>54</v>
      </c>
      <c r="E36" s="40" t="n">
        <v>399</v>
      </c>
      <c r="F36" s="40" t="n">
        <v>4999</v>
      </c>
      <c r="G36" s="41" t="n">
        <v>1994601</v>
      </c>
      <c r="H36" s="41" t="n">
        <v>1059572</v>
      </c>
      <c r="I36" s="42" t="n">
        <v>1.88245914388074</v>
      </c>
      <c r="J36" s="41" t="n">
        <v>139174</v>
      </c>
      <c r="K36" s="41" t="n">
        <v>1855427</v>
      </c>
    </row>
    <row r="37" customFormat="false" ht="15" hidden="false" customHeight="false" outlineLevel="0" collapsed="false">
      <c r="A37" s="43" t="s">
        <v>28</v>
      </c>
      <c r="B37" s="43" t="s">
        <v>29</v>
      </c>
      <c r="C37" s="43" t="s">
        <v>51</v>
      </c>
      <c r="D37" s="43" t="s">
        <v>55</v>
      </c>
      <c r="E37" s="44" t="n">
        <v>107</v>
      </c>
      <c r="F37" s="44" t="n">
        <v>1499</v>
      </c>
      <c r="G37" s="45" t="n">
        <v>160393</v>
      </c>
      <c r="H37" s="45" t="n">
        <v>1411768</v>
      </c>
      <c r="I37" s="46" t="n">
        <v>0.113611443239966</v>
      </c>
      <c r="J37" s="45" t="n">
        <v>91460</v>
      </c>
      <c r="K37" s="45" t="n">
        <v>68933</v>
      </c>
    </row>
    <row r="38" customFormat="false" ht="15" hidden="false" customHeight="false" outlineLevel="0" collapsed="false">
      <c r="A38" s="39" t="s">
        <v>28</v>
      </c>
      <c r="B38" s="39" t="s">
        <v>29</v>
      </c>
      <c r="C38" s="39" t="s">
        <v>56</v>
      </c>
      <c r="D38" s="39" t="s">
        <v>52</v>
      </c>
      <c r="E38" s="40" t="n">
        <v>282</v>
      </c>
      <c r="F38" s="40" t="n">
        <v>500</v>
      </c>
      <c r="G38" s="41" t="n">
        <v>141000</v>
      </c>
      <c r="H38" s="41" t="n">
        <v>1052366</v>
      </c>
      <c r="I38" s="42" t="n">
        <v>0.133983804113778</v>
      </c>
      <c r="J38" s="41" t="n">
        <v>181225</v>
      </c>
      <c r="K38" s="41" t="n">
        <v>-40225</v>
      </c>
    </row>
    <row r="39" customFormat="false" ht="15" hidden="false" customHeight="false" outlineLevel="0" collapsed="false">
      <c r="A39" s="43" t="s">
        <v>28</v>
      </c>
      <c r="B39" s="43" t="s">
        <v>29</v>
      </c>
      <c r="C39" s="43" t="s">
        <v>56</v>
      </c>
      <c r="D39" s="43" t="s">
        <v>53</v>
      </c>
      <c r="E39" s="44" t="n">
        <v>141</v>
      </c>
      <c r="F39" s="44" t="n">
        <v>4999</v>
      </c>
      <c r="G39" s="45" t="n">
        <v>704859</v>
      </c>
      <c r="H39" s="45" t="n">
        <v>723159</v>
      </c>
      <c r="I39" s="46" t="n">
        <v>0.974694361820844</v>
      </c>
      <c r="J39" s="45" t="n">
        <v>128235</v>
      </c>
      <c r="K39" s="45" t="n">
        <v>576624</v>
      </c>
    </row>
    <row r="40" customFormat="false" ht="15" hidden="false" customHeight="false" outlineLevel="0" collapsed="false">
      <c r="A40" s="39" t="s">
        <v>28</v>
      </c>
      <c r="B40" s="39" t="s">
        <v>29</v>
      </c>
      <c r="C40" s="39" t="s">
        <v>56</v>
      </c>
      <c r="D40" s="39" t="s">
        <v>54</v>
      </c>
      <c r="E40" s="40" t="n">
        <v>377</v>
      </c>
      <c r="F40" s="40" t="n">
        <v>4999</v>
      </c>
      <c r="G40" s="41" t="n">
        <v>1884623</v>
      </c>
      <c r="H40" s="41" t="n">
        <v>1777103</v>
      </c>
      <c r="I40" s="42" t="n">
        <v>1.06050296465652</v>
      </c>
      <c r="J40" s="41" t="n">
        <v>102143</v>
      </c>
      <c r="K40" s="41" t="n">
        <v>1782480</v>
      </c>
    </row>
    <row r="41" customFormat="false" ht="15" hidden="false" customHeight="false" outlineLevel="0" collapsed="false">
      <c r="A41" s="43" t="s">
        <v>28</v>
      </c>
      <c r="B41" s="43" t="s">
        <v>29</v>
      </c>
      <c r="C41" s="43" t="s">
        <v>56</v>
      </c>
      <c r="D41" s="43" t="s">
        <v>55</v>
      </c>
      <c r="E41" s="44" t="n">
        <v>128</v>
      </c>
      <c r="F41" s="44" t="n">
        <v>1499</v>
      </c>
      <c r="G41" s="45" t="n">
        <v>191872</v>
      </c>
      <c r="H41" s="45" t="n">
        <v>838792</v>
      </c>
      <c r="I41" s="46" t="n">
        <v>0.228748009041574</v>
      </c>
      <c r="J41" s="45" t="n">
        <v>191394</v>
      </c>
      <c r="K41" s="45" t="n">
        <v>478</v>
      </c>
    </row>
    <row r="42" customFormat="false" ht="15" hidden="false" customHeight="false" outlineLevel="0" collapsed="false">
      <c r="A42" s="39" t="s">
        <v>28</v>
      </c>
      <c r="B42" s="39" t="s">
        <v>31</v>
      </c>
      <c r="C42" s="39" t="s">
        <v>57</v>
      </c>
      <c r="D42" s="39" t="s">
        <v>52</v>
      </c>
      <c r="E42" s="40" t="n">
        <v>321</v>
      </c>
      <c r="F42" s="40" t="n">
        <v>500</v>
      </c>
      <c r="G42" s="41" t="n">
        <v>160500</v>
      </c>
      <c r="H42" s="41" t="n">
        <v>1756077</v>
      </c>
      <c r="I42" s="42" t="n">
        <v>0.0913969034387444</v>
      </c>
      <c r="J42" s="41" t="n">
        <v>134975</v>
      </c>
      <c r="K42" s="41" t="n">
        <v>25525</v>
      </c>
    </row>
    <row r="43" customFormat="false" ht="15" hidden="false" customHeight="false" outlineLevel="0" collapsed="false">
      <c r="A43" s="43" t="s">
        <v>28</v>
      </c>
      <c r="B43" s="43" t="s">
        <v>31</v>
      </c>
      <c r="C43" s="43" t="s">
        <v>57</v>
      </c>
      <c r="D43" s="43" t="s">
        <v>53</v>
      </c>
      <c r="E43" s="44" t="n">
        <v>300</v>
      </c>
      <c r="F43" s="44" t="n">
        <v>500</v>
      </c>
      <c r="G43" s="45" t="n">
        <v>150000</v>
      </c>
      <c r="H43" s="45" t="n">
        <v>734603</v>
      </c>
      <c r="I43" s="46" t="n">
        <v>0.204191924073275</v>
      </c>
      <c r="J43" s="45" t="n">
        <v>145153</v>
      </c>
      <c r="K43" s="45" t="n">
        <v>4847</v>
      </c>
    </row>
    <row r="44" customFormat="false" ht="15" hidden="false" customHeight="false" outlineLevel="0" collapsed="false">
      <c r="A44" s="39" t="s">
        <v>28</v>
      </c>
      <c r="B44" s="39" t="s">
        <v>31</v>
      </c>
      <c r="C44" s="39" t="s">
        <v>57</v>
      </c>
      <c r="D44" s="39" t="s">
        <v>54</v>
      </c>
      <c r="E44" s="40" t="n">
        <v>207</v>
      </c>
      <c r="F44" s="40" t="n">
        <v>999</v>
      </c>
      <c r="G44" s="41" t="n">
        <v>206793</v>
      </c>
      <c r="H44" s="41" t="n">
        <v>621477</v>
      </c>
      <c r="I44" s="42" t="n">
        <v>0.332744413711207</v>
      </c>
      <c r="J44" s="41" t="n">
        <v>113143</v>
      </c>
      <c r="K44" s="41" t="n">
        <v>93650</v>
      </c>
    </row>
    <row r="45" customFormat="false" ht="15" hidden="false" customHeight="false" outlineLevel="0" collapsed="false">
      <c r="A45" s="43" t="s">
        <v>28</v>
      </c>
      <c r="B45" s="43" t="s">
        <v>31</v>
      </c>
      <c r="C45" s="43" t="s">
        <v>57</v>
      </c>
      <c r="D45" s="43" t="s">
        <v>55</v>
      </c>
      <c r="E45" s="44" t="n">
        <v>340</v>
      </c>
      <c r="F45" s="44" t="n">
        <v>500</v>
      </c>
      <c r="G45" s="45" t="n">
        <v>170000</v>
      </c>
      <c r="H45" s="45" t="n">
        <v>679628</v>
      </c>
      <c r="I45" s="46" t="n">
        <v>0.250136839565174</v>
      </c>
      <c r="J45" s="45" t="n">
        <v>177399</v>
      </c>
      <c r="K45" s="45" t="n">
        <v>-7399</v>
      </c>
    </row>
    <row r="46" customFormat="false" ht="15" hidden="false" customHeight="false" outlineLevel="0" collapsed="false">
      <c r="A46" s="39" t="s">
        <v>28</v>
      </c>
      <c r="B46" s="39" t="s">
        <v>31</v>
      </c>
      <c r="C46" s="39" t="s">
        <v>58</v>
      </c>
      <c r="D46" s="39" t="s">
        <v>52</v>
      </c>
      <c r="E46" s="40" t="n">
        <v>85</v>
      </c>
      <c r="F46" s="40" t="n">
        <v>4999</v>
      </c>
      <c r="G46" s="41" t="n">
        <v>424915</v>
      </c>
      <c r="H46" s="41" t="n">
        <v>763738</v>
      </c>
      <c r="I46" s="42" t="n">
        <v>0.5563622603563</v>
      </c>
      <c r="J46" s="41" t="n">
        <v>83657</v>
      </c>
      <c r="K46" s="41" t="n">
        <v>341258</v>
      </c>
    </row>
    <row r="47" customFormat="false" ht="15" hidden="false" customHeight="false" outlineLevel="0" collapsed="false">
      <c r="A47" s="43" t="s">
        <v>28</v>
      </c>
      <c r="B47" s="43" t="s">
        <v>31</v>
      </c>
      <c r="C47" s="43" t="s">
        <v>58</v>
      </c>
      <c r="D47" s="43" t="s">
        <v>53</v>
      </c>
      <c r="E47" s="44" t="n">
        <v>387</v>
      </c>
      <c r="F47" s="44" t="n">
        <v>2499</v>
      </c>
      <c r="G47" s="45" t="n">
        <v>967113</v>
      </c>
      <c r="H47" s="45" t="n">
        <v>1653021</v>
      </c>
      <c r="I47" s="46" t="n">
        <v>0.585057903075642</v>
      </c>
      <c r="J47" s="45" t="n">
        <v>93287</v>
      </c>
      <c r="K47" s="45" t="n">
        <v>873826</v>
      </c>
    </row>
    <row r="48" customFormat="false" ht="15" hidden="false" customHeight="false" outlineLevel="0" collapsed="false">
      <c r="A48" s="39" t="s">
        <v>28</v>
      </c>
      <c r="B48" s="39" t="s">
        <v>31</v>
      </c>
      <c r="C48" s="39" t="s">
        <v>58</v>
      </c>
      <c r="D48" s="39" t="s">
        <v>54</v>
      </c>
      <c r="E48" s="40" t="n">
        <v>185</v>
      </c>
      <c r="F48" s="40" t="n">
        <v>4999</v>
      </c>
      <c r="G48" s="41" t="n">
        <v>924815</v>
      </c>
      <c r="H48" s="41" t="n">
        <v>1772119</v>
      </c>
      <c r="I48" s="42" t="n">
        <v>0.52186958099315</v>
      </c>
      <c r="J48" s="41" t="n">
        <v>160923</v>
      </c>
      <c r="K48" s="41" t="n">
        <v>763892</v>
      </c>
    </row>
    <row r="49" customFormat="false" ht="15" hidden="false" customHeight="false" outlineLevel="0" collapsed="false">
      <c r="A49" s="43" t="s">
        <v>28</v>
      </c>
      <c r="B49" s="43" t="s">
        <v>31</v>
      </c>
      <c r="C49" s="43" t="s">
        <v>58</v>
      </c>
      <c r="D49" s="43" t="s">
        <v>55</v>
      </c>
      <c r="E49" s="44" t="n">
        <v>158</v>
      </c>
      <c r="F49" s="44" t="n">
        <v>4999</v>
      </c>
      <c r="G49" s="45" t="n">
        <v>789842</v>
      </c>
      <c r="H49" s="45" t="n">
        <v>1946757</v>
      </c>
      <c r="I49" s="46" t="n">
        <v>0.405721926259929</v>
      </c>
      <c r="J49" s="45" t="n">
        <v>102730</v>
      </c>
      <c r="K49" s="45" t="n">
        <v>687112</v>
      </c>
    </row>
    <row r="50" customFormat="false" ht="15" hidden="false" customHeight="false" outlineLevel="0" collapsed="false">
      <c r="A50" s="39" t="s">
        <v>28</v>
      </c>
      <c r="B50" s="39" t="s">
        <v>27</v>
      </c>
      <c r="C50" s="39" t="s">
        <v>59</v>
      </c>
      <c r="D50" s="39" t="s">
        <v>52</v>
      </c>
      <c r="E50" s="40" t="n">
        <v>209</v>
      </c>
      <c r="F50" s="40" t="n">
        <v>2499</v>
      </c>
      <c r="G50" s="41" t="n">
        <v>522291</v>
      </c>
      <c r="H50" s="41" t="n">
        <v>1908629</v>
      </c>
      <c r="I50" s="42" t="n">
        <v>0.273647209593902</v>
      </c>
      <c r="J50" s="41" t="n">
        <v>147889</v>
      </c>
      <c r="K50" s="41" t="n">
        <v>374402</v>
      </c>
    </row>
    <row r="51" customFormat="false" ht="15" hidden="false" customHeight="false" outlineLevel="0" collapsed="false">
      <c r="A51" s="43" t="s">
        <v>28</v>
      </c>
      <c r="B51" s="43" t="s">
        <v>27</v>
      </c>
      <c r="C51" s="43" t="s">
        <v>59</v>
      </c>
      <c r="D51" s="43" t="s">
        <v>53</v>
      </c>
      <c r="E51" s="44" t="n">
        <v>274</v>
      </c>
      <c r="F51" s="44" t="n">
        <v>4999</v>
      </c>
      <c r="G51" s="45" t="n">
        <v>1369726</v>
      </c>
      <c r="H51" s="45" t="n">
        <v>1446835</v>
      </c>
      <c r="I51" s="46" t="n">
        <v>0.946705049297259</v>
      </c>
      <c r="J51" s="45" t="n">
        <v>81720</v>
      </c>
      <c r="K51" s="45" t="n">
        <v>1288006</v>
      </c>
    </row>
    <row r="52" customFormat="false" ht="15" hidden="false" customHeight="false" outlineLevel="0" collapsed="false">
      <c r="A52" s="39" t="s">
        <v>28</v>
      </c>
      <c r="B52" s="39" t="s">
        <v>27</v>
      </c>
      <c r="C52" s="39" t="s">
        <v>59</v>
      </c>
      <c r="D52" s="39" t="s">
        <v>54</v>
      </c>
      <c r="E52" s="40" t="n">
        <v>176</v>
      </c>
      <c r="F52" s="40" t="n">
        <v>999</v>
      </c>
      <c r="G52" s="41" t="n">
        <v>175824</v>
      </c>
      <c r="H52" s="41" t="n">
        <v>634272</v>
      </c>
      <c r="I52" s="42" t="n">
        <v>0.277205993643106</v>
      </c>
      <c r="J52" s="41" t="n">
        <v>138627</v>
      </c>
      <c r="K52" s="41" t="n">
        <v>37197</v>
      </c>
    </row>
    <row r="53" customFormat="false" ht="15" hidden="false" customHeight="false" outlineLevel="0" collapsed="false">
      <c r="A53" s="43" t="s">
        <v>28</v>
      </c>
      <c r="B53" s="43" t="s">
        <v>27</v>
      </c>
      <c r="C53" s="43" t="s">
        <v>59</v>
      </c>
      <c r="D53" s="43" t="s">
        <v>55</v>
      </c>
      <c r="E53" s="44" t="n">
        <v>60</v>
      </c>
      <c r="F53" s="44" t="n">
        <v>4999</v>
      </c>
      <c r="G53" s="45" t="n">
        <v>299940</v>
      </c>
      <c r="H53" s="45" t="n">
        <v>1661657</v>
      </c>
      <c r="I53" s="46" t="n">
        <v>0.180506566638001</v>
      </c>
      <c r="J53" s="45" t="n">
        <v>110323</v>
      </c>
      <c r="K53" s="45" t="n">
        <v>189617</v>
      </c>
    </row>
    <row r="54" customFormat="false" ht="15" hidden="false" customHeight="false" outlineLevel="0" collapsed="false">
      <c r="A54" s="39" t="s">
        <v>28</v>
      </c>
      <c r="B54" s="39" t="s">
        <v>27</v>
      </c>
      <c r="C54" s="39" t="s">
        <v>60</v>
      </c>
      <c r="D54" s="39" t="s">
        <v>52</v>
      </c>
      <c r="E54" s="40" t="n">
        <v>351</v>
      </c>
      <c r="F54" s="40" t="n">
        <v>999</v>
      </c>
      <c r="G54" s="41" t="n">
        <v>350649</v>
      </c>
      <c r="H54" s="41" t="n">
        <v>515080</v>
      </c>
      <c r="I54" s="42" t="n">
        <v>0.680766094587249</v>
      </c>
      <c r="J54" s="41" t="n">
        <v>68610</v>
      </c>
      <c r="K54" s="41" t="n">
        <v>282039</v>
      </c>
    </row>
    <row r="55" customFormat="false" ht="15" hidden="false" customHeight="false" outlineLevel="0" collapsed="false">
      <c r="A55" s="43" t="s">
        <v>28</v>
      </c>
      <c r="B55" s="43" t="s">
        <v>27</v>
      </c>
      <c r="C55" s="43" t="s">
        <v>60</v>
      </c>
      <c r="D55" s="43" t="s">
        <v>53</v>
      </c>
      <c r="E55" s="44" t="n">
        <v>373</v>
      </c>
      <c r="F55" s="44" t="n">
        <v>500</v>
      </c>
      <c r="G55" s="45" t="n">
        <v>186500</v>
      </c>
      <c r="H55" s="45" t="n">
        <v>980125</v>
      </c>
      <c r="I55" s="46" t="n">
        <v>0.190281851804617</v>
      </c>
      <c r="J55" s="45" t="n">
        <v>67668</v>
      </c>
      <c r="K55" s="45" t="n">
        <v>118832</v>
      </c>
    </row>
    <row r="56" customFormat="false" ht="15" hidden="false" customHeight="false" outlineLevel="0" collapsed="false">
      <c r="A56" s="39" t="s">
        <v>28</v>
      </c>
      <c r="B56" s="39" t="s">
        <v>27</v>
      </c>
      <c r="C56" s="39" t="s">
        <v>60</v>
      </c>
      <c r="D56" s="39" t="s">
        <v>54</v>
      </c>
      <c r="E56" s="40" t="n">
        <v>66</v>
      </c>
      <c r="F56" s="40" t="n">
        <v>1499</v>
      </c>
      <c r="G56" s="41" t="n">
        <v>98934</v>
      </c>
      <c r="H56" s="41" t="n">
        <v>648598</v>
      </c>
      <c r="I56" s="42" t="n">
        <v>0.152535160453779</v>
      </c>
      <c r="J56" s="41" t="n">
        <v>184782</v>
      </c>
      <c r="K56" s="41" t="n">
        <v>-85848</v>
      </c>
    </row>
    <row r="57" customFormat="false" ht="15" hidden="false" customHeight="false" outlineLevel="0" collapsed="false">
      <c r="A57" s="43" t="s">
        <v>28</v>
      </c>
      <c r="B57" s="43" t="s">
        <v>27</v>
      </c>
      <c r="C57" s="43" t="s">
        <v>60</v>
      </c>
      <c r="D57" s="43" t="s">
        <v>55</v>
      </c>
      <c r="E57" s="44" t="n">
        <v>171</v>
      </c>
      <c r="F57" s="44" t="n">
        <v>1499</v>
      </c>
      <c r="G57" s="45" t="n">
        <v>256329</v>
      </c>
      <c r="H57" s="45" t="n">
        <v>1902948</v>
      </c>
      <c r="I57" s="46" t="n">
        <v>0.134701000763027</v>
      </c>
      <c r="J57" s="45" t="n">
        <v>177248</v>
      </c>
      <c r="K57" s="45" t="n">
        <v>79081</v>
      </c>
    </row>
    <row r="58" customFormat="false" ht="15" hidden="false" customHeight="false" outlineLevel="0" collapsed="false">
      <c r="A58" s="39" t="s">
        <v>28</v>
      </c>
      <c r="B58" s="39" t="s">
        <v>33</v>
      </c>
      <c r="C58" s="39" t="s">
        <v>61</v>
      </c>
      <c r="D58" s="39" t="s">
        <v>52</v>
      </c>
      <c r="E58" s="40" t="n">
        <v>159</v>
      </c>
      <c r="F58" s="40" t="n">
        <v>4999</v>
      </c>
      <c r="G58" s="41" t="n">
        <v>794841</v>
      </c>
      <c r="H58" s="41" t="n">
        <v>777478</v>
      </c>
      <c r="I58" s="42" t="n">
        <v>1.02233246471283</v>
      </c>
      <c r="J58" s="41" t="n">
        <v>199695</v>
      </c>
      <c r="K58" s="41" t="n">
        <v>595146</v>
      </c>
    </row>
    <row r="59" customFormat="false" ht="15" hidden="false" customHeight="false" outlineLevel="0" collapsed="false">
      <c r="A59" s="43" t="s">
        <v>28</v>
      </c>
      <c r="B59" s="43" t="s">
        <v>33</v>
      </c>
      <c r="C59" s="43" t="s">
        <v>61</v>
      </c>
      <c r="D59" s="43" t="s">
        <v>53</v>
      </c>
      <c r="E59" s="44" t="n">
        <v>345</v>
      </c>
      <c r="F59" s="44" t="n">
        <v>2499</v>
      </c>
      <c r="G59" s="45" t="n">
        <v>862155</v>
      </c>
      <c r="H59" s="45" t="n">
        <v>1009602</v>
      </c>
      <c r="I59" s="46" t="n">
        <v>0.853955321007684</v>
      </c>
      <c r="J59" s="45" t="n">
        <v>173987</v>
      </c>
      <c r="K59" s="45" t="n">
        <v>688168</v>
      </c>
    </row>
    <row r="60" customFormat="false" ht="15" hidden="false" customHeight="false" outlineLevel="0" collapsed="false">
      <c r="A60" s="39" t="s">
        <v>28</v>
      </c>
      <c r="B60" s="39" t="s">
        <v>33</v>
      </c>
      <c r="C60" s="39" t="s">
        <v>61</v>
      </c>
      <c r="D60" s="39" t="s">
        <v>54</v>
      </c>
      <c r="E60" s="40" t="n">
        <v>258</v>
      </c>
      <c r="F60" s="40" t="n">
        <v>999</v>
      </c>
      <c r="G60" s="41" t="n">
        <v>257742</v>
      </c>
      <c r="H60" s="41" t="n">
        <v>697815</v>
      </c>
      <c r="I60" s="42" t="n">
        <v>0.369355774811376</v>
      </c>
      <c r="J60" s="41" t="n">
        <v>75409</v>
      </c>
      <c r="K60" s="41" t="n">
        <v>182333</v>
      </c>
    </row>
    <row r="61" customFormat="false" ht="15" hidden="false" customHeight="false" outlineLevel="0" collapsed="false">
      <c r="A61" s="43" t="s">
        <v>28</v>
      </c>
      <c r="B61" s="43" t="s">
        <v>33</v>
      </c>
      <c r="C61" s="43" t="s">
        <v>61</v>
      </c>
      <c r="D61" s="43" t="s">
        <v>55</v>
      </c>
      <c r="E61" s="44" t="n">
        <v>387</v>
      </c>
      <c r="F61" s="44" t="n">
        <v>2499</v>
      </c>
      <c r="G61" s="45" t="n">
        <v>967113</v>
      </c>
      <c r="H61" s="45" t="n">
        <v>1243015</v>
      </c>
      <c r="I61" s="46" t="n">
        <v>0.778038076773008</v>
      </c>
      <c r="J61" s="45" t="n">
        <v>161038</v>
      </c>
      <c r="K61" s="45" t="n">
        <v>806075</v>
      </c>
    </row>
    <row r="62" customFormat="false" ht="15" hidden="false" customHeight="false" outlineLevel="0" collapsed="false">
      <c r="A62" s="39" t="s">
        <v>28</v>
      </c>
      <c r="B62" s="39" t="s">
        <v>33</v>
      </c>
      <c r="C62" s="39" t="s">
        <v>62</v>
      </c>
      <c r="D62" s="39" t="s">
        <v>52</v>
      </c>
      <c r="E62" s="40" t="n">
        <v>260</v>
      </c>
      <c r="F62" s="40" t="n">
        <v>2499</v>
      </c>
      <c r="G62" s="41" t="n">
        <v>649740</v>
      </c>
      <c r="H62" s="41" t="n">
        <v>613605</v>
      </c>
      <c r="I62" s="42" t="n">
        <v>1.05888967658347</v>
      </c>
      <c r="J62" s="41" t="n">
        <v>75799</v>
      </c>
      <c r="K62" s="41" t="n">
        <v>573941</v>
      </c>
    </row>
    <row r="63" customFormat="false" ht="15" hidden="false" customHeight="false" outlineLevel="0" collapsed="false">
      <c r="A63" s="43" t="s">
        <v>28</v>
      </c>
      <c r="B63" s="43" t="s">
        <v>33</v>
      </c>
      <c r="C63" s="43" t="s">
        <v>62</v>
      </c>
      <c r="D63" s="43" t="s">
        <v>53</v>
      </c>
      <c r="E63" s="44" t="n">
        <v>81</v>
      </c>
      <c r="F63" s="44" t="n">
        <v>2499</v>
      </c>
      <c r="G63" s="45" t="n">
        <v>202419</v>
      </c>
      <c r="H63" s="45" t="n">
        <v>1211569</v>
      </c>
      <c r="I63" s="46" t="n">
        <v>0.167071788730151</v>
      </c>
      <c r="J63" s="45" t="n">
        <v>78644</v>
      </c>
      <c r="K63" s="45" t="n">
        <v>123775</v>
      </c>
    </row>
    <row r="64" customFormat="false" ht="15" hidden="false" customHeight="false" outlineLevel="0" collapsed="false">
      <c r="A64" s="39" t="s">
        <v>28</v>
      </c>
      <c r="B64" s="39" t="s">
        <v>33</v>
      </c>
      <c r="C64" s="39" t="s">
        <v>62</v>
      </c>
      <c r="D64" s="39" t="s">
        <v>54</v>
      </c>
      <c r="E64" s="40" t="n">
        <v>177</v>
      </c>
      <c r="F64" s="40" t="n">
        <v>999</v>
      </c>
      <c r="G64" s="41" t="n">
        <v>176823</v>
      </c>
      <c r="H64" s="41" t="n">
        <v>898896</v>
      </c>
      <c r="I64" s="42" t="n">
        <v>0.196711299193678</v>
      </c>
      <c r="J64" s="41" t="n">
        <v>190584</v>
      </c>
      <c r="K64" s="41" t="n">
        <v>-13761</v>
      </c>
    </row>
    <row r="65" customFormat="false" ht="15" hidden="false" customHeight="false" outlineLevel="0" collapsed="false">
      <c r="A65" s="43" t="s">
        <v>28</v>
      </c>
      <c r="B65" s="43" t="s">
        <v>33</v>
      </c>
      <c r="C65" s="43" t="s">
        <v>62</v>
      </c>
      <c r="D65" s="43" t="s">
        <v>55</v>
      </c>
      <c r="E65" s="44" t="n">
        <v>279</v>
      </c>
      <c r="F65" s="44" t="n">
        <v>999</v>
      </c>
      <c r="G65" s="45" t="n">
        <v>278721</v>
      </c>
      <c r="H65" s="45" t="n">
        <v>1384749</v>
      </c>
      <c r="I65" s="46" t="n">
        <v>0.201279076569111</v>
      </c>
      <c r="J65" s="45" t="n">
        <v>98100</v>
      </c>
      <c r="K65" s="45" t="n">
        <v>180621</v>
      </c>
    </row>
    <row r="66" customFormat="false" ht="15" hidden="false" customHeight="false" outlineLevel="0" collapsed="false">
      <c r="A66" s="39" t="s">
        <v>30</v>
      </c>
      <c r="B66" s="39" t="s">
        <v>29</v>
      </c>
      <c r="C66" s="39" t="s">
        <v>51</v>
      </c>
      <c r="D66" s="39" t="s">
        <v>52</v>
      </c>
      <c r="E66" s="40" t="n">
        <v>192</v>
      </c>
      <c r="F66" s="40" t="n">
        <v>2499</v>
      </c>
      <c r="G66" s="41" t="n">
        <v>479808</v>
      </c>
      <c r="H66" s="41" t="n">
        <v>1023882</v>
      </c>
      <c r="I66" s="42" t="n">
        <v>0.468616500729576</v>
      </c>
      <c r="J66" s="41" t="n">
        <v>69761</v>
      </c>
      <c r="K66" s="41" t="n">
        <v>410047</v>
      </c>
    </row>
    <row r="67" customFormat="false" ht="15" hidden="false" customHeight="false" outlineLevel="0" collapsed="false">
      <c r="A67" s="43" t="s">
        <v>30</v>
      </c>
      <c r="B67" s="43" t="s">
        <v>29</v>
      </c>
      <c r="C67" s="43" t="s">
        <v>51</v>
      </c>
      <c r="D67" s="43" t="s">
        <v>53</v>
      </c>
      <c r="E67" s="44" t="n">
        <v>276</v>
      </c>
      <c r="F67" s="44" t="n">
        <v>4999</v>
      </c>
      <c r="G67" s="45" t="n">
        <v>1379724</v>
      </c>
      <c r="H67" s="45" t="n">
        <v>705329</v>
      </c>
      <c r="I67" s="46" t="n">
        <v>1.95614245267102</v>
      </c>
      <c r="J67" s="45" t="n">
        <v>63261</v>
      </c>
      <c r="K67" s="45" t="n">
        <v>1316463</v>
      </c>
    </row>
    <row r="68" customFormat="false" ht="15" hidden="false" customHeight="false" outlineLevel="0" collapsed="false">
      <c r="A68" s="39" t="s">
        <v>30</v>
      </c>
      <c r="B68" s="39" t="s">
        <v>29</v>
      </c>
      <c r="C68" s="39" t="s">
        <v>51</v>
      </c>
      <c r="D68" s="39" t="s">
        <v>54</v>
      </c>
      <c r="E68" s="40" t="n">
        <v>383</v>
      </c>
      <c r="F68" s="40" t="n">
        <v>4999</v>
      </c>
      <c r="G68" s="41" t="n">
        <v>1914617</v>
      </c>
      <c r="H68" s="41" t="n">
        <v>530949</v>
      </c>
      <c r="I68" s="42" t="n">
        <v>3.60602807425949</v>
      </c>
      <c r="J68" s="41" t="n">
        <v>74448</v>
      </c>
      <c r="K68" s="41" t="n">
        <v>1840169</v>
      </c>
    </row>
    <row r="69" customFormat="false" ht="15" hidden="false" customHeight="false" outlineLevel="0" collapsed="false">
      <c r="A69" s="43" t="s">
        <v>30</v>
      </c>
      <c r="B69" s="43" t="s">
        <v>29</v>
      </c>
      <c r="C69" s="43" t="s">
        <v>51</v>
      </c>
      <c r="D69" s="43" t="s">
        <v>55</v>
      </c>
      <c r="E69" s="44" t="n">
        <v>171</v>
      </c>
      <c r="F69" s="44" t="n">
        <v>999</v>
      </c>
      <c r="G69" s="45" t="n">
        <v>170829</v>
      </c>
      <c r="H69" s="45" t="n">
        <v>1352312</v>
      </c>
      <c r="I69" s="46" t="n">
        <v>0.126323659037264</v>
      </c>
      <c r="J69" s="45" t="n">
        <v>177307</v>
      </c>
      <c r="K69" s="45" t="n">
        <v>-6478</v>
      </c>
    </row>
    <row r="70" customFormat="false" ht="15" hidden="false" customHeight="false" outlineLevel="0" collapsed="false">
      <c r="A70" s="39" t="s">
        <v>30</v>
      </c>
      <c r="B70" s="39" t="s">
        <v>29</v>
      </c>
      <c r="C70" s="39" t="s">
        <v>56</v>
      </c>
      <c r="D70" s="39" t="s">
        <v>52</v>
      </c>
      <c r="E70" s="40" t="n">
        <v>296</v>
      </c>
      <c r="F70" s="40" t="n">
        <v>999</v>
      </c>
      <c r="G70" s="41" t="n">
        <v>295704</v>
      </c>
      <c r="H70" s="41" t="n">
        <v>1341042</v>
      </c>
      <c r="I70" s="42" t="n">
        <v>0.220503160974824</v>
      </c>
      <c r="J70" s="41" t="n">
        <v>65370</v>
      </c>
      <c r="K70" s="41" t="n">
        <v>230334</v>
      </c>
    </row>
    <row r="71" customFormat="false" ht="15" hidden="false" customHeight="false" outlineLevel="0" collapsed="false">
      <c r="A71" s="43" t="s">
        <v>30</v>
      </c>
      <c r="B71" s="43" t="s">
        <v>29</v>
      </c>
      <c r="C71" s="43" t="s">
        <v>56</v>
      </c>
      <c r="D71" s="43" t="s">
        <v>53</v>
      </c>
      <c r="E71" s="44" t="n">
        <v>134</v>
      </c>
      <c r="F71" s="44" t="n">
        <v>2499</v>
      </c>
      <c r="G71" s="45" t="n">
        <v>334866</v>
      </c>
      <c r="H71" s="45" t="n">
        <v>504520</v>
      </c>
      <c r="I71" s="46" t="n">
        <v>0.663731863949893</v>
      </c>
      <c r="J71" s="45" t="n">
        <v>152346</v>
      </c>
      <c r="K71" s="45" t="n">
        <v>182520</v>
      </c>
    </row>
    <row r="72" customFormat="false" ht="15" hidden="false" customHeight="false" outlineLevel="0" collapsed="false">
      <c r="A72" s="39" t="s">
        <v>30</v>
      </c>
      <c r="B72" s="39" t="s">
        <v>29</v>
      </c>
      <c r="C72" s="39" t="s">
        <v>56</v>
      </c>
      <c r="D72" s="39" t="s">
        <v>54</v>
      </c>
      <c r="E72" s="40" t="n">
        <v>185</v>
      </c>
      <c r="F72" s="40" t="n">
        <v>2499</v>
      </c>
      <c r="G72" s="41" t="n">
        <v>462315</v>
      </c>
      <c r="H72" s="41" t="n">
        <v>1098210</v>
      </c>
      <c r="I72" s="42" t="n">
        <v>0.420971398912776</v>
      </c>
      <c r="J72" s="41" t="n">
        <v>160888</v>
      </c>
      <c r="K72" s="41" t="n">
        <v>301427</v>
      </c>
    </row>
    <row r="73" customFormat="false" ht="15" hidden="false" customHeight="false" outlineLevel="0" collapsed="false">
      <c r="A73" s="43" t="s">
        <v>30</v>
      </c>
      <c r="B73" s="43" t="s">
        <v>29</v>
      </c>
      <c r="C73" s="43" t="s">
        <v>56</v>
      </c>
      <c r="D73" s="43" t="s">
        <v>55</v>
      </c>
      <c r="E73" s="44" t="n">
        <v>334</v>
      </c>
      <c r="F73" s="44" t="n">
        <v>2499</v>
      </c>
      <c r="G73" s="45" t="n">
        <v>834666</v>
      </c>
      <c r="H73" s="45" t="n">
        <v>824632</v>
      </c>
      <c r="I73" s="46" t="n">
        <v>1.01216785184179</v>
      </c>
      <c r="J73" s="45" t="n">
        <v>99780</v>
      </c>
      <c r="K73" s="45" t="n">
        <v>734886</v>
      </c>
    </row>
    <row r="74" customFormat="false" ht="15" hidden="false" customHeight="false" outlineLevel="0" collapsed="false">
      <c r="A74" s="39" t="s">
        <v>30</v>
      </c>
      <c r="B74" s="39" t="s">
        <v>31</v>
      </c>
      <c r="C74" s="39" t="s">
        <v>57</v>
      </c>
      <c r="D74" s="39" t="s">
        <v>52</v>
      </c>
      <c r="E74" s="40" t="n">
        <v>201</v>
      </c>
      <c r="F74" s="40" t="n">
        <v>999</v>
      </c>
      <c r="G74" s="41" t="n">
        <v>200799</v>
      </c>
      <c r="H74" s="41" t="n">
        <v>622648</v>
      </c>
      <c r="I74" s="42" t="n">
        <v>0.322492001901556</v>
      </c>
      <c r="J74" s="41" t="n">
        <v>192133</v>
      </c>
      <c r="K74" s="41" t="n">
        <v>8666</v>
      </c>
    </row>
    <row r="75" customFormat="false" ht="15" hidden="false" customHeight="false" outlineLevel="0" collapsed="false">
      <c r="A75" s="43" t="s">
        <v>30</v>
      </c>
      <c r="B75" s="43" t="s">
        <v>31</v>
      </c>
      <c r="C75" s="43" t="s">
        <v>57</v>
      </c>
      <c r="D75" s="43" t="s">
        <v>53</v>
      </c>
      <c r="E75" s="44" t="n">
        <v>81</v>
      </c>
      <c r="F75" s="44" t="n">
        <v>1499</v>
      </c>
      <c r="G75" s="45" t="n">
        <v>121419</v>
      </c>
      <c r="H75" s="45" t="n">
        <v>619884</v>
      </c>
      <c r="I75" s="46" t="n">
        <v>0.195873744119868</v>
      </c>
      <c r="J75" s="45" t="n">
        <v>63144</v>
      </c>
      <c r="K75" s="45" t="n">
        <v>58275</v>
      </c>
    </row>
    <row r="76" customFormat="false" ht="15" hidden="false" customHeight="false" outlineLevel="0" collapsed="false">
      <c r="A76" s="39" t="s">
        <v>30</v>
      </c>
      <c r="B76" s="39" t="s">
        <v>31</v>
      </c>
      <c r="C76" s="39" t="s">
        <v>57</v>
      </c>
      <c r="D76" s="39" t="s">
        <v>54</v>
      </c>
      <c r="E76" s="40" t="n">
        <v>349</v>
      </c>
      <c r="F76" s="40" t="n">
        <v>2499</v>
      </c>
      <c r="G76" s="41" t="n">
        <v>872151</v>
      </c>
      <c r="H76" s="41" t="n">
        <v>1554553</v>
      </c>
      <c r="I76" s="42" t="n">
        <v>0.561030083889067</v>
      </c>
      <c r="J76" s="41" t="n">
        <v>189231</v>
      </c>
      <c r="K76" s="41" t="n">
        <v>682920</v>
      </c>
    </row>
    <row r="77" customFormat="false" ht="15" hidden="false" customHeight="false" outlineLevel="0" collapsed="false">
      <c r="A77" s="43" t="s">
        <v>30</v>
      </c>
      <c r="B77" s="43" t="s">
        <v>31</v>
      </c>
      <c r="C77" s="43" t="s">
        <v>57</v>
      </c>
      <c r="D77" s="43" t="s">
        <v>55</v>
      </c>
      <c r="E77" s="44" t="n">
        <v>130</v>
      </c>
      <c r="F77" s="44" t="n">
        <v>500</v>
      </c>
      <c r="G77" s="45" t="n">
        <v>65000</v>
      </c>
      <c r="H77" s="45" t="n">
        <v>1564993</v>
      </c>
      <c r="I77" s="46" t="n">
        <v>0.0415337320997602</v>
      </c>
      <c r="J77" s="45" t="n">
        <v>71000</v>
      </c>
      <c r="K77" s="45" t="n">
        <v>-6000</v>
      </c>
    </row>
    <row r="78" customFormat="false" ht="15" hidden="false" customHeight="false" outlineLevel="0" collapsed="false">
      <c r="A78" s="39" t="s">
        <v>30</v>
      </c>
      <c r="B78" s="39" t="s">
        <v>31</v>
      </c>
      <c r="C78" s="39" t="s">
        <v>58</v>
      </c>
      <c r="D78" s="39" t="s">
        <v>52</v>
      </c>
      <c r="E78" s="40" t="n">
        <v>145</v>
      </c>
      <c r="F78" s="40" t="n">
        <v>500</v>
      </c>
      <c r="G78" s="41" t="n">
        <v>72500</v>
      </c>
      <c r="H78" s="41" t="n">
        <v>1747879</v>
      </c>
      <c r="I78" s="42" t="n">
        <v>0.0414788437872416</v>
      </c>
      <c r="J78" s="41" t="n">
        <v>67815</v>
      </c>
      <c r="K78" s="41" t="n">
        <v>4685</v>
      </c>
    </row>
    <row r="79" customFormat="false" ht="15" hidden="false" customHeight="false" outlineLevel="0" collapsed="false">
      <c r="A79" s="43" t="s">
        <v>30</v>
      </c>
      <c r="B79" s="43" t="s">
        <v>31</v>
      </c>
      <c r="C79" s="43" t="s">
        <v>58</v>
      </c>
      <c r="D79" s="43" t="s">
        <v>53</v>
      </c>
      <c r="E79" s="44" t="n">
        <v>395</v>
      </c>
      <c r="F79" s="44" t="n">
        <v>999</v>
      </c>
      <c r="G79" s="45" t="n">
        <v>394605</v>
      </c>
      <c r="H79" s="45" t="n">
        <v>1346778</v>
      </c>
      <c r="I79" s="46" t="n">
        <v>0.292999291642721</v>
      </c>
      <c r="J79" s="45" t="n">
        <v>81427</v>
      </c>
      <c r="K79" s="45" t="n">
        <v>313178</v>
      </c>
    </row>
    <row r="80" customFormat="false" ht="15" hidden="false" customHeight="false" outlineLevel="0" collapsed="false">
      <c r="A80" s="39" t="s">
        <v>30</v>
      </c>
      <c r="B80" s="39" t="s">
        <v>31</v>
      </c>
      <c r="C80" s="39" t="s">
        <v>58</v>
      </c>
      <c r="D80" s="39" t="s">
        <v>54</v>
      </c>
      <c r="E80" s="40" t="n">
        <v>341</v>
      </c>
      <c r="F80" s="40" t="n">
        <v>999</v>
      </c>
      <c r="G80" s="41" t="n">
        <v>340659</v>
      </c>
      <c r="H80" s="41" t="n">
        <v>1714081</v>
      </c>
      <c r="I80" s="42" t="n">
        <v>0.198741483045434</v>
      </c>
      <c r="J80" s="41" t="n">
        <v>60418</v>
      </c>
      <c r="K80" s="41" t="n">
        <v>280241</v>
      </c>
    </row>
    <row r="81" customFormat="false" ht="15" hidden="false" customHeight="false" outlineLevel="0" collapsed="false">
      <c r="A81" s="43" t="s">
        <v>30</v>
      </c>
      <c r="B81" s="43" t="s">
        <v>31</v>
      </c>
      <c r="C81" s="43" t="s">
        <v>58</v>
      </c>
      <c r="D81" s="43" t="s">
        <v>55</v>
      </c>
      <c r="E81" s="44" t="n">
        <v>367</v>
      </c>
      <c r="F81" s="44" t="n">
        <v>500</v>
      </c>
      <c r="G81" s="45" t="n">
        <v>183500</v>
      </c>
      <c r="H81" s="45" t="n">
        <v>1379178</v>
      </c>
      <c r="I81" s="46" t="n">
        <v>0.133050266173039</v>
      </c>
      <c r="J81" s="45" t="n">
        <v>198170</v>
      </c>
      <c r="K81" s="45" t="n">
        <v>-14670</v>
      </c>
    </row>
    <row r="82" customFormat="false" ht="15" hidden="false" customHeight="false" outlineLevel="0" collapsed="false">
      <c r="A82" s="39" t="s">
        <v>30</v>
      </c>
      <c r="B82" s="39" t="s">
        <v>27</v>
      </c>
      <c r="C82" s="39" t="s">
        <v>59</v>
      </c>
      <c r="D82" s="39" t="s">
        <v>52</v>
      </c>
      <c r="E82" s="40" t="n">
        <v>317</v>
      </c>
      <c r="F82" s="40" t="n">
        <v>1499</v>
      </c>
      <c r="G82" s="41" t="n">
        <v>475183</v>
      </c>
      <c r="H82" s="41" t="n">
        <v>1046865</v>
      </c>
      <c r="I82" s="42" t="n">
        <v>0.453910485115082</v>
      </c>
      <c r="J82" s="41" t="n">
        <v>103545</v>
      </c>
      <c r="K82" s="41" t="n">
        <v>371638</v>
      </c>
    </row>
    <row r="83" customFormat="false" ht="15" hidden="false" customHeight="false" outlineLevel="0" collapsed="false">
      <c r="A83" s="43" t="s">
        <v>30</v>
      </c>
      <c r="B83" s="43" t="s">
        <v>27</v>
      </c>
      <c r="C83" s="43" t="s">
        <v>59</v>
      </c>
      <c r="D83" s="43" t="s">
        <v>53</v>
      </c>
      <c r="E83" s="44" t="n">
        <v>392</v>
      </c>
      <c r="F83" s="44" t="n">
        <v>1499</v>
      </c>
      <c r="G83" s="45" t="n">
        <v>587608</v>
      </c>
      <c r="H83" s="45" t="n">
        <v>1000560</v>
      </c>
      <c r="I83" s="46" t="n">
        <v>0.587279123690733</v>
      </c>
      <c r="J83" s="45" t="n">
        <v>119629</v>
      </c>
      <c r="K83" s="45" t="n">
        <v>467979</v>
      </c>
    </row>
    <row r="84" customFormat="false" ht="15" hidden="false" customHeight="false" outlineLevel="0" collapsed="false">
      <c r="A84" s="39" t="s">
        <v>30</v>
      </c>
      <c r="B84" s="39" t="s">
        <v>27</v>
      </c>
      <c r="C84" s="39" t="s">
        <v>59</v>
      </c>
      <c r="D84" s="39" t="s">
        <v>54</v>
      </c>
      <c r="E84" s="40" t="n">
        <v>252</v>
      </c>
      <c r="F84" s="40" t="n">
        <v>999</v>
      </c>
      <c r="G84" s="41" t="n">
        <v>251748</v>
      </c>
      <c r="H84" s="41" t="n">
        <v>1908636</v>
      </c>
      <c r="I84" s="42" t="n">
        <v>0.131899429749832</v>
      </c>
      <c r="J84" s="41" t="n">
        <v>128642</v>
      </c>
      <c r="K84" s="41" t="n">
        <v>123106</v>
      </c>
    </row>
    <row r="85" customFormat="false" ht="15" hidden="false" customHeight="false" outlineLevel="0" collapsed="false">
      <c r="A85" s="43" t="s">
        <v>30</v>
      </c>
      <c r="B85" s="43" t="s">
        <v>27</v>
      </c>
      <c r="C85" s="43" t="s">
        <v>59</v>
      </c>
      <c r="D85" s="43" t="s">
        <v>55</v>
      </c>
      <c r="E85" s="44" t="n">
        <v>284</v>
      </c>
      <c r="F85" s="44" t="n">
        <v>1499</v>
      </c>
      <c r="G85" s="45" t="n">
        <v>425716</v>
      </c>
      <c r="H85" s="45" t="n">
        <v>652133</v>
      </c>
      <c r="I85" s="46" t="n">
        <v>0.652805485997488</v>
      </c>
      <c r="J85" s="45" t="n">
        <v>52441</v>
      </c>
      <c r="K85" s="45" t="n">
        <v>373275</v>
      </c>
    </row>
    <row r="86" customFormat="false" ht="15" hidden="false" customHeight="false" outlineLevel="0" collapsed="false">
      <c r="A86" s="39" t="s">
        <v>30</v>
      </c>
      <c r="B86" s="39" t="s">
        <v>27</v>
      </c>
      <c r="C86" s="39" t="s">
        <v>60</v>
      </c>
      <c r="D86" s="39" t="s">
        <v>52</v>
      </c>
      <c r="E86" s="40" t="n">
        <v>284</v>
      </c>
      <c r="F86" s="40" t="n">
        <v>4999</v>
      </c>
      <c r="G86" s="41" t="n">
        <v>1419716</v>
      </c>
      <c r="H86" s="41" t="n">
        <v>1680683</v>
      </c>
      <c r="I86" s="42" t="n">
        <v>0.844725626426875</v>
      </c>
      <c r="J86" s="41" t="n">
        <v>76209</v>
      </c>
      <c r="K86" s="41" t="n">
        <v>1343507</v>
      </c>
    </row>
    <row r="87" customFormat="false" ht="15" hidden="false" customHeight="false" outlineLevel="0" collapsed="false">
      <c r="A87" s="43" t="s">
        <v>30</v>
      </c>
      <c r="B87" s="43" t="s">
        <v>27</v>
      </c>
      <c r="C87" s="43" t="s">
        <v>60</v>
      </c>
      <c r="D87" s="43" t="s">
        <v>53</v>
      </c>
      <c r="E87" s="44" t="n">
        <v>87</v>
      </c>
      <c r="F87" s="44" t="n">
        <v>4999</v>
      </c>
      <c r="G87" s="45" t="n">
        <v>434913</v>
      </c>
      <c r="H87" s="45" t="n">
        <v>947016</v>
      </c>
      <c r="I87" s="46" t="n">
        <v>0.459245672723587</v>
      </c>
      <c r="J87" s="45" t="n">
        <v>182614</v>
      </c>
      <c r="K87" s="45" t="n">
        <v>252299</v>
      </c>
    </row>
    <row r="88" customFormat="false" ht="15" hidden="false" customHeight="false" outlineLevel="0" collapsed="false">
      <c r="A88" s="39" t="s">
        <v>30</v>
      </c>
      <c r="B88" s="39" t="s">
        <v>27</v>
      </c>
      <c r="C88" s="39" t="s">
        <v>60</v>
      </c>
      <c r="D88" s="39" t="s">
        <v>54</v>
      </c>
      <c r="E88" s="40" t="n">
        <v>185</v>
      </c>
      <c r="F88" s="40" t="n">
        <v>999</v>
      </c>
      <c r="G88" s="41" t="n">
        <v>184815</v>
      </c>
      <c r="H88" s="41" t="n">
        <v>1231924</v>
      </c>
      <c r="I88" s="42" t="n">
        <v>0.150021429893403</v>
      </c>
      <c r="J88" s="41" t="n">
        <v>68033</v>
      </c>
      <c r="K88" s="41" t="n">
        <v>116782</v>
      </c>
    </row>
    <row r="89" customFormat="false" ht="15" hidden="false" customHeight="false" outlineLevel="0" collapsed="false">
      <c r="A89" s="43" t="s">
        <v>30</v>
      </c>
      <c r="B89" s="43" t="s">
        <v>27</v>
      </c>
      <c r="C89" s="43" t="s">
        <v>60</v>
      </c>
      <c r="D89" s="43" t="s">
        <v>55</v>
      </c>
      <c r="E89" s="44" t="n">
        <v>175</v>
      </c>
      <c r="F89" s="44" t="n">
        <v>1499</v>
      </c>
      <c r="G89" s="45" t="n">
        <v>262325</v>
      </c>
      <c r="H89" s="45" t="n">
        <v>1097661</v>
      </c>
      <c r="I89" s="46" t="n">
        <v>0.238985442682212</v>
      </c>
      <c r="J89" s="45" t="n">
        <v>91352</v>
      </c>
      <c r="K89" s="45" t="n">
        <v>170973</v>
      </c>
    </row>
    <row r="90" customFormat="false" ht="15" hidden="false" customHeight="false" outlineLevel="0" collapsed="false">
      <c r="A90" s="39" t="s">
        <v>30</v>
      </c>
      <c r="B90" s="39" t="s">
        <v>33</v>
      </c>
      <c r="C90" s="39" t="s">
        <v>61</v>
      </c>
      <c r="D90" s="39" t="s">
        <v>52</v>
      </c>
      <c r="E90" s="40" t="n">
        <v>274</v>
      </c>
      <c r="F90" s="40" t="n">
        <v>4999</v>
      </c>
      <c r="G90" s="41" t="n">
        <v>1369726</v>
      </c>
      <c r="H90" s="41" t="n">
        <v>1975430</v>
      </c>
      <c r="I90" s="42" t="n">
        <v>0.693381187893269</v>
      </c>
      <c r="J90" s="41" t="n">
        <v>129303</v>
      </c>
      <c r="K90" s="41" t="n">
        <v>1240423</v>
      </c>
    </row>
    <row r="91" customFormat="false" ht="15" hidden="false" customHeight="false" outlineLevel="0" collapsed="false">
      <c r="A91" s="43" t="s">
        <v>30</v>
      </c>
      <c r="B91" s="43" t="s">
        <v>33</v>
      </c>
      <c r="C91" s="43" t="s">
        <v>61</v>
      </c>
      <c r="D91" s="43" t="s">
        <v>53</v>
      </c>
      <c r="E91" s="44" t="n">
        <v>363</v>
      </c>
      <c r="F91" s="44" t="n">
        <v>4999</v>
      </c>
      <c r="G91" s="45" t="n">
        <v>1814637</v>
      </c>
      <c r="H91" s="45" t="n">
        <v>516406</v>
      </c>
      <c r="I91" s="46" t="n">
        <v>3.51397350146977</v>
      </c>
      <c r="J91" s="45" t="n">
        <v>195385</v>
      </c>
      <c r="K91" s="45" t="n">
        <v>1619252</v>
      </c>
    </row>
    <row r="92" customFormat="false" ht="15" hidden="false" customHeight="false" outlineLevel="0" collapsed="false">
      <c r="A92" s="39" t="s">
        <v>30</v>
      </c>
      <c r="B92" s="39" t="s">
        <v>33</v>
      </c>
      <c r="C92" s="39" t="s">
        <v>61</v>
      </c>
      <c r="D92" s="39" t="s">
        <v>54</v>
      </c>
      <c r="E92" s="40" t="n">
        <v>203</v>
      </c>
      <c r="F92" s="40" t="n">
        <v>500</v>
      </c>
      <c r="G92" s="41" t="n">
        <v>101500</v>
      </c>
      <c r="H92" s="41" t="n">
        <v>781628</v>
      </c>
      <c r="I92" s="42" t="n">
        <v>0.129857169906912</v>
      </c>
      <c r="J92" s="41" t="n">
        <v>119328</v>
      </c>
      <c r="K92" s="41" t="n">
        <v>-17828</v>
      </c>
    </row>
    <row r="93" customFormat="false" ht="15" hidden="false" customHeight="false" outlineLevel="0" collapsed="false">
      <c r="A93" s="43" t="s">
        <v>30</v>
      </c>
      <c r="B93" s="43" t="s">
        <v>33</v>
      </c>
      <c r="C93" s="43" t="s">
        <v>61</v>
      </c>
      <c r="D93" s="43" t="s">
        <v>55</v>
      </c>
      <c r="E93" s="44" t="n">
        <v>109</v>
      </c>
      <c r="F93" s="44" t="n">
        <v>500</v>
      </c>
      <c r="G93" s="45" t="n">
        <v>54500</v>
      </c>
      <c r="H93" s="45" t="n">
        <v>1660194</v>
      </c>
      <c r="I93" s="46" t="n">
        <v>0.0328274888356421</v>
      </c>
      <c r="J93" s="45" t="n">
        <v>90749</v>
      </c>
      <c r="K93" s="45" t="n">
        <v>-36249</v>
      </c>
    </row>
    <row r="94" customFormat="false" ht="15" hidden="false" customHeight="false" outlineLevel="0" collapsed="false">
      <c r="A94" s="39" t="s">
        <v>30</v>
      </c>
      <c r="B94" s="39" t="s">
        <v>33</v>
      </c>
      <c r="C94" s="39" t="s">
        <v>62</v>
      </c>
      <c r="D94" s="39" t="s">
        <v>52</v>
      </c>
      <c r="E94" s="40" t="n">
        <v>189</v>
      </c>
      <c r="F94" s="40" t="n">
        <v>1499</v>
      </c>
      <c r="G94" s="41" t="n">
        <v>283311</v>
      </c>
      <c r="H94" s="41" t="n">
        <v>1768420</v>
      </c>
      <c r="I94" s="42" t="n">
        <v>0.160205720360548</v>
      </c>
      <c r="J94" s="41" t="n">
        <v>105215</v>
      </c>
      <c r="K94" s="41" t="n">
        <v>178096</v>
      </c>
    </row>
    <row r="95" customFormat="false" ht="15" hidden="false" customHeight="false" outlineLevel="0" collapsed="false">
      <c r="A95" s="43" t="s">
        <v>30</v>
      </c>
      <c r="B95" s="43" t="s">
        <v>33</v>
      </c>
      <c r="C95" s="43" t="s">
        <v>62</v>
      </c>
      <c r="D95" s="43" t="s">
        <v>53</v>
      </c>
      <c r="E95" s="44" t="n">
        <v>225</v>
      </c>
      <c r="F95" s="44" t="n">
        <v>999</v>
      </c>
      <c r="G95" s="45" t="n">
        <v>224775</v>
      </c>
      <c r="H95" s="45" t="n">
        <v>1941785</v>
      </c>
      <c r="I95" s="46" t="n">
        <v>0.115756893785872</v>
      </c>
      <c r="J95" s="45" t="n">
        <v>119201</v>
      </c>
      <c r="K95" s="45" t="n">
        <v>105574</v>
      </c>
    </row>
    <row r="96" customFormat="false" ht="15" hidden="false" customHeight="false" outlineLevel="0" collapsed="false">
      <c r="A96" s="39" t="s">
        <v>30</v>
      </c>
      <c r="B96" s="39" t="s">
        <v>33</v>
      </c>
      <c r="C96" s="39" t="s">
        <v>62</v>
      </c>
      <c r="D96" s="39" t="s">
        <v>54</v>
      </c>
      <c r="E96" s="40" t="n">
        <v>308</v>
      </c>
      <c r="F96" s="40" t="n">
        <v>2499</v>
      </c>
      <c r="G96" s="41" t="n">
        <v>769692</v>
      </c>
      <c r="H96" s="41" t="n">
        <v>1026639</v>
      </c>
      <c r="I96" s="42" t="n">
        <v>0.74972020349899</v>
      </c>
      <c r="J96" s="41" t="n">
        <v>63316</v>
      </c>
      <c r="K96" s="41" t="n">
        <v>706376</v>
      </c>
    </row>
    <row r="97" customFormat="false" ht="15" hidden="false" customHeight="false" outlineLevel="0" collapsed="false">
      <c r="A97" s="43" t="s">
        <v>30</v>
      </c>
      <c r="B97" s="43" t="s">
        <v>33</v>
      </c>
      <c r="C97" s="43" t="s">
        <v>62</v>
      </c>
      <c r="D97" s="43" t="s">
        <v>55</v>
      </c>
      <c r="E97" s="44" t="n">
        <v>97</v>
      </c>
      <c r="F97" s="44" t="n">
        <v>2499</v>
      </c>
      <c r="G97" s="45" t="n">
        <v>242403</v>
      </c>
      <c r="H97" s="45" t="n">
        <v>1080240</v>
      </c>
      <c r="I97" s="46" t="n">
        <v>0.224397356143079</v>
      </c>
      <c r="J97" s="45" t="n">
        <v>61557</v>
      </c>
      <c r="K97" s="45" t="n">
        <v>180846</v>
      </c>
    </row>
    <row r="98" customFormat="false" ht="15" hidden="false" customHeight="false" outlineLevel="0" collapsed="false">
      <c r="A98" s="39" t="s">
        <v>32</v>
      </c>
      <c r="B98" s="39" t="s">
        <v>29</v>
      </c>
      <c r="C98" s="39" t="s">
        <v>51</v>
      </c>
      <c r="D98" s="39" t="s">
        <v>52</v>
      </c>
      <c r="E98" s="40" t="n">
        <v>51</v>
      </c>
      <c r="F98" s="40" t="n">
        <v>1499</v>
      </c>
      <c r="G98" s="41" t="n">
        <v>76449</v>
      </c>
      <c r="H98" s="41" t="n">
        <v>774348</v>
      </c>
      <c r="I98" s="42" t="n">
        <v>0.098726928977669</v>
      </c>
      <c r="J98" s="41" t="n">
        <v>118670</v>
      </c>
      <c r="K98" s="41" t="n">
        <v>-42221</v>
      </c>
    </row>
    <row r="99" customFormat="false" ht="15" hidden="false" customHeight="false" outlineLevel="0" collapsed="false">
      <c r="A99" s="43" t="s">
        <v>32</v>
      </c>
      <c r="B99" s="43" t="s">
        <v>29</v>
      </c>
      <c r="C99" s="43" t="s">
        <v>51</v>
      </c>
      <c r="D99" s="43" t="s">
        <v>53</v>
      </c>
      <c r="E99" s="44" t="n">
        <v>132</v>
      </c>
      <c r="F99" s="44" t="n">
        <v>2499</v>
      </c>
      <c r="G99" s="45" t="n">
        <v>329868</v>
      </c>
      <c r="H99" s="45" t="n">
        <v>1656957</v>
      </c>
      <c r="I99" s="46" t="n">
        <v>0.19908060378151</v>
      </c>
      <c r="J99" s="45" t="n">
        <v>162115</v>
      </c>
      <c r="K99" s="45" t="n">
        <v>167753</v>
      </c>
    </row>
    <row r="100" customFormat="false" ht="15" hidden="false" customHeight="false" outlineLevel="0" collapsed="false">
      <c r="A100" s="39" t="s">
        <v>32</v>
      </c>
      <c r="B100" s="39" t="s">
        <v>29</v>
      </c>
      <c r="C100" s="39" t="s">
        <v>51</v>
      </c>
      <c r="D100" s="39" t="s">
        <v>54</v>
      </c>
      <c r="E100" s="40" t="n">
        <v>337</v>
      </c>
      <c r="F100" s="40" t="n">
        <v>500</v>
      </c>
      <c r="G100" s="41" t="n">
        <v>168500</v>
      </c>
      <c r="H100" s="41" t="n">
        <v>734616</v>
      </c>
      <c r="I100" s="42" t="n">
        <v>0.229371535604996</v>
      </c>
      <c r="J100" s="41" t="n">
        <v>69724</v>
      </c>
      <c r="K100" s="41" t="n">
        <v>98776</v>
      </c>
    </row>
    <row r="101" customFormat="false" ht="15" hidden="false" customHeight="false" outlineLevel="0" collapsed="false">
      <c r="A101" s="43" t="s">
        <v>32</v>
      </c>
      <c r="B101" s="43" t="s">
        <v>29</v>
      </c>
      <c r="C101" s="43" t="s">
        <v>51</v>
      </c>
      <c r="D101" s="43" t="s">
        <v>55</v>
      </c>
      <c r="E101" s="44" t="n">
        <v>126</v>
      </c>
      <c r="F101" s="44" t="n">
        <v>4999</v>
      </c>
      <c r="G101" s="45" t="n">
        <v>629874</v>
      </c>
      <c r="H101" s="45" t="n">
        <v>575556</v>
      </c>
      <c r="I101" s="46" t="n">
        <v>1.09437483059859</v>
      </c>
      <c r="J101" s="45" t="n">
        <v>146787</v>
      </c>
      <c r="K101" s="45" t="n">
        <v>483087</v>
      </c>
    </row>
    <row r="102" customFormat="false" ht="15" hidden="false" customHeight="false" outlineLevel="0" collapsed="false">
      <c r="A102" s="39" t="s">
        <v>32</v>
      </c>
      <c r="B102" s="39" t="s">
        <v>29</v>
      </c>
      <c r="C102" s="39" t="s">
        <v>56</v>
      </c>
      <c r="D102" s="39" t="s">
        <v>52</v>
      </c>
      <c r="E102" s="40" t="n">
        <v>348</v>
      </c>
      <c r="F102" s="40" t="n">
        <v>4999</v>
      </c>
      <c r="G102" s="41" t="n">
        <v>1739652</v>
      </c>
      <c r="H102" s="41" t="n">
        <v>810575</v>
      </c>
      <c r="I102" s="42" t="n">
        <v>2.14619498504148</v>
      </c>
      <c r="J102" s="41" t="n">
        <v>162666</v>
      </c>
      <c r="K102" s="41" t="n">
        <v>1576986</v>
      </c>
    </row>
    <row r="103" customFormat="false" ht="15" hidden="false" customHeight="false" outlineLevel="0" collapsed="false">
      <c r="A103" s="43" t="s">
        <v>32</v>
      </c>
      <c r="B103" s="43" t="s">
        <v>29</v>
      </c>
      <c r="C103" s="43" t="s">
        <v>56</v>
      </c>
      <c r="D103" s="43" t="s">
        <v>53</v>
      </c>
      <c r="E103" s="44" t="n">
        <v>115</v>
      </c>
      <c r="F103" s="44" t="n">
        <v>500</v>
      </c>
      <c r="G103" s="45" t="n">
        <v>57500</v>
      </c>
      <c r="H103" s="45" t="n">
        <v>1146464</v>
      </c>
      <c r="I103" s="46" t="n">
        <v>0.0501542133028163</v>
      </c>
      <c r="J103" s="45" t="n">
        <v>145591</v>
      </c>
      <c r="K103" s="45" t="n">
        <v>-88091</v>
      </c>
    </row>
    <row r="104" customFormat="false" ht="15" hidden="false" customHeight="false" outlineLevel="0" collapsed="false">
      <c r="A104" s="39" t="s">
        <v>32</v>
      </c>
      <c r="B104" s="39" t="s">
        <v>29</v>
      </c>
      <c r="C104" s="39" t="s">
        <v>56</v>
      </c>
      <c r="D104" s="39" t="s">
        <v>54</v>
      </c>
      <c r="E104" s="40" t="n">
        <v>70</v>
      </c>
      <c r="F104" s="40" t="n">
        <v>1499</v>
      </c>
      <c r="G104" s="41" t="n">
        <v>104930</v>
      </c>
      <c r="H104" s="41" t="n">
        <v>940562</v>
      </c>
      <c r="I104" s="42" t="n">
        <v>0.111560960361996</v>
      </c>
      <c r="J104" s="41" t="n">
        <v>115412</v>
      </c>
      <c r="K104" s="41" t="n">
        <v>-10482</v>
      </c>
    </row>
    <row r="105" customFormat="false" ht="15" hidden="false" customHeight="false" outlineLevel="0" collapsed="false">
      <c r="A105" s="43" t="s">
        <v>32</v>
      </c>
      <c r="B105" s="43" t="s">
        <v>29</v>
      </c>
      <c r="C105" s="43" t="s">
        <v>56</v>
      </c>
      <c r="D105" s="43" t="s">
        <v>55</v>
      </c>
      <c r="E105" s="44" t="n">
        <v>391</v>
      </c>
      <c r="F105" s="44" t="n">
        <v>500</v>
      </c>
      <c r="G105" s="45" t="n">
        <v>195500</v>
      </c>
      <c r="H105" s="45" t="n">
        <v>1241717</v>
      </c>
      <c r="I105" s="46" t="n">
        <v>0.157443282164938</v>
      </c>
      <c r="J105" s="45" t="n">
        <v>196770</v>
      </c>
      <c r="K105" s="45" t="n">
        <v>-1270</v>
      </c>
    </row>
    <row r="106" customFormat="false" ht="15" hidden="false" customHeight="false" outlineLevel="0" collapsed="false">
      <c r="A106" s="39" t="s">
        <v>32</v>
      </c>
      <c r="B106" s="39" t="s">
        <v>31</v>
      </c>
      <c r="C106" s="39" t="s">
        <v>57</v>
      </c>
      <c r="D106" s="39" t="s">
        <v>52</v>
      </c>
      <c r="E106" s="40" t="n">
        <v>258</v>
      </c>
      <c r="F106" s="40" t="n">
        <v>4999</v>
      </c>
      <c r="G106" s="41" t="n">
        <v>1289742</v>
      </c>
      <c r="H106" s="41" t="n">
        <v>824121</v>
      </c>
      <c r="I106" s="42" t="n">
        <v>1.56499106320552</v>
      </c>
      <c r="J106" s="41" t="n">
        <v>112059</v>
      </c>
      <c r="K106" s="41" t="n">
        <v>1177683</v>
      </c>
    </row>
    <row r="107" customFormat="false" ht="15" hidden="false" customHeight="false" outlineLevel="0" collapsed="false">
      <c r="A107" s="43" t="s">
        <v>32</v>
      </c>
      <c r="B107" s="43" t="s">
        <v>31</v>
      </c>
      <c r="C107" s="43" t="s">
        <v>57</v>
      </c>
      <c r="D107" s="43" t="s">
        <v>53</v>
      </c>
      <c r="E107" s="44" t="n">
        <v>133</v>
      </c>
      <c r="F107" s="44" t="n">
        <v>999</v>
      </c>
      <c r="G107" s="45" t="n">
        <v>132867</v>
      </c>
      <c r="H107" s="45" t="n">
        <v>1364644</v>
      </c>
      <c r="I107" s="46" t="n">
        <v>0.0973638546023725</v>
      </c>
      <c r="J107" s="45" t="n">
        <v>56497</v>
      </c>
      <c r="K107" s="45" t="n">
        <v>76370</v>
      </c>
    </row>
    <row r="108" customFormat="false" ht="15" hidden="false" customHeight="false" outlineLevel="0" collapsed="false">
      <c r="A108" s="39" t="s">
        <v>32</v>
      </c>
      <c r="B108" s="39" t="s">
        <v>31</v>
      </c>
      <c r="C108" s="39" t="s">
        <v>57</v>
      </c>
      <c r="D108" s="39" t="s">
        <v>54</v>
      </c>
      <c r="E108" s="40" t="n">
        <v>141</v>
      </c>
      <c r="F108" s="40" t="n">
        <v>1499</v>
      </c>
      <c r="G108" s="41" t="n">
        <v>211359</v>
      </c>
      <c r="H108" s="41" t="n">
        <v>1363425</v>
      </c>
      <c r="I108" s="42" t="n">
        <v>0.155020628197371</v>
      </c>
      <c r="J108" s="41" t="n">
        <v>115055</v>
      </c>
      <c r="K108" s="41" t="n">
        <v>96304</v>
      </c>
    </row>
    <row r="109" customFormat="false" ht="15" hidden="false" customHeight="false" outlineLevel="0" collapsed="false">
      <c r="A109" s="43" t="s">
        <v>32</v>
      </c>
      <c r="B109" s="43" t="s">
        <v>31</v>
      </c>
      <c r="C109" s="43" t="s">
        <v>57</v>
      </c>
      <c r="D109" s="43" t="s">
        <v>55</v>
      </c>
      <c r="E109" s="44" t="n">
        <v>186</v>
      </c>
      <c r="F109" s="44" t="n">
        <v>999</v>
      </c>
      <c r="G109" s="45" t="n">
        <v>185814</v>
      </c>
      <c r="H109" s="45" t="n">
        <v>1970686</v>
      </c>
      <c r="I109" s="46" t="n">
        <v>0.0942889937818607</v>
      </c>
      <c r="J109" s="45" t="n">
        <v>78336</v>
      </c>
      <c r="K109" s="45" t="n">
        <v>107478</v>
      </c>
    </row>
    <row r="110" customFormat="false" ht="15" hidden="false" customHeight="false" outlineLevel="0" collapsed="false">
      <c r="A110" s="39" t="s">
        <v>32</v>
      </c>
      <c r="B110" s="39" t="s">
        <v>31</v>
      </c>
      <c r="C110" s="39" t="s">
        <v>58</v>
      </c>
      <c r="D110" s="39" t="s">
        <v>52</v>
      </c>
      <c r="E110" s="40" t="n">
        <v>245</v>
      </c>
      <c r="F110" s="40" t="n">
        <v>500</v>
      </c>
      <c r="G110" s="41" t="n">
        <v>122500</v>
      </c>
      <c r="H110" s="41" t="n">
        <v>1487108</v>
      </c>
      <c r="I110" s="42" t="n">
        <v>0.08237464931935</v>
      </c>
      <c r="J110" s="41" t="n">
        <v>108309</v>
      </c>
      <c r="K110" s="41" t="n">
        <v>14191</v>
      </c>
    </row>
    <row r="111" customFormat="false" ht="15" hidden="false" customHeight="false" outlineLevel="0" collapsed="false">
      <c r="A111" s="43" t="s">
        <v>32</v>
      </c>
      <c r="B111" s="43" t="s">
        <v>31</v>
      </c>
      <c r="C111" s="43" t="s">
        <v>58</v>
      </c>
      <c r="D111" s="43" t="s">
        <v>53</v>
      </c>
      <c r="E111" s="44" t="n">
        <v>152</v>
      </c>
      <c r="F111" s="44" t="n">
        <v>2499</v>
      </c>
      <c r="G111" s="45" t="n">
        <v>379848</v>
      </c>
      <c r="H111" s="45" t="n">
        <v>1233286</v>
      </c>
      <c r="I111" s="46" t="n">
        <v>0.307996685278192</v>
      </c>
      <c r="J111" s="45" t="n">
        <v>130003</v>
      </c>
      <c r="K111" s="45" t="n">
        <v>249845</v>
      </c>
    </row>
    <row r="112" customFormat="false" ht="15" hidden="false" customHeight="false" outlineLevel="0" collapsed="false">
      <c r="A112" s="39" t="s">
        <v>32</v>
      </c>
      <c r="B112" s="39" t="s">
        <v>31</v>
      </c>
      <c r="C112" s="39" t="s">
        <v>58</v>
      </c>
      <c r="D112" s="39" t="s">
        <v>54</v>
      </c>
      <c r="E112" s="40" t="n">
        <v>166</v>
      </c>
      <c r="F112" s="40" t="n">
        <v>999</v>
      </c>
      <c r="G112" s="41" t="n">
        <v>165834</v>
      </c>
      <c r="H112" s="41" t="n">
        <v>549627</v>
      </c>
      <c r="I112" s="42" t="n">
        <v>0.301720985322774</v>
      </c>
      <c r="J112" s="41" t="n">
        <v>100627</v>
      </c>
      <c r="K112" s="41" t="n">
        <v>65207</v>
      </c>
    </row>
    <row r="113" customFormat="false" ht="15" hidden="false" customHeight="false" outlineLevel="0" collapsed="false">
      <c r="A113" s="43" t="s">
        <v>32</v>
      </c>
      <c r="B113" s="43" t="s">
        <v>31</v>
      </c>
      <c r="C113" s="43" t="s">
        <v>58</v>
      </c>
      <c r="D113" s="43" t="s">
        <v>55</v>
      </c>
      <c r="E113" s="44" t="n">
        <v>254</v>
      </c>
      <c r="F113" s="44" t="n">
        <v>1499</v>
      </c>
      <c r="G113" s="45" t="n">
        <v>380746</v>
      </c>
      <c r="H113" s="45" t="n">
        <v>1084272</v>
      </c>
      <c r="I113" s="46" t="n">
        <v>0.351153585078283</v>
      </c>
      <c r="J113" s="45" t="n">
        <v>68198</v>
      </c>
      <c r="K113" s="45" t="n">
        <v>312548</v>
      </c>
    </row>
    <row r="114" customFormat="false" ht="15" hidden="false" customHeight="false" outlineLevel="0" collapsed="false">
      <c r="A114" s="39" t="s">
        <v>32</v>
      </c>
      <c r="B114" s="39" t="s">
        <v>27</v>
      </c>
      <c r="C114" s="39" t="s">
        <v>59</v>
      </c>
      <c r="D114" s="39" t="s">
        <v>52</v>
      </c>
      <c r="E114" s="40" t="n">
        <v>192</v>
      </c>
      <c r="F114" s="40" t="n">
        <v>1499</v>
      </c>
      <c r="G114" s="41" t="n">
        <v>287808</v>
      </c>
      <c r="H114" s="41" t="n">
        <v>1845284</v>
      </c>
      <c r="I114" s="42" t="n">
        <v>0.155969487623585</v>
      </c>
      <c r="J114" s="41" t="n">
        <v>183537</v>
      </c>
      <c r="K114" s="41" t="n">
        <v>104271</v>
      </c>
    </row>
    <row r="115" customFormat="false" ht="15" hidden="false" customHeight="false" outlineLevel="0" collapsed="false">
      <c r="A115" s="43" t="s">
        <v>32</v>
      </c>
      <c r="B115" s="43" t="s">
        <v>27</v>
      </c>
      <c r="C115" s="43" t="s">
        <v>59</v>
      </c>
      <c r="D115" s="43" t="s">
        <v>53</v>
      </c>
      <c r="E115" s="44" t="n">
        <v>254</v>
      </c>
      <c r="F115" s="44" t="n">
        <v>4999</v>
      </c>
      <c r="G115" s="45" t="n">
        <v>1269746</v>
      </c>
      <c r="H115" s="45" t="n">
        <v>1194471</v>
      </c>
      <c r="I115" s="46" t="n">
        <v>1.06301952914721</v>
      </c>
      <c r="J115" s="45" t="n">
        <v>57235</v>
      </c>
      <c r="K115" s="45" t="n">
        <v>1212511</v>
      </c>
    </row>
    <row r="116" customFormat="false" ht="15" hidden="false" customHeight="false" outlineLevel="0" collapsed="false">
      <c r="A116" s="39" t="s">
        <v>32</v>
      </c>
      <c r="B116" s="39" t="s">
        <v>27</v>
      </c>
      <c r="C116" s="39" t="s">
        <v>59</v>
      </c>
      <c r="D116" s="39" t="s">
        <v>54</v>
      </c>
      <c r="E116" s="40" t="n">
        <v>109</v>
      </c>
      <c r="F116" s="40" t="n">
        <v>1499</v>
      </c>
      <c r="G116" s="41" t="n">
        <v>163391</v>
      </c>
      <c r="H116" s="41" t="n">
        <v>874483</v>
      </c>
      <c r="I116" s="42" t="n">
        <v>0.186842968931357</v>
      </c>
      <c r="J116" s="41" t="n">
        <v>119590</v>
      </c>
      <c r="K116" s="41" t="n">
        <v>43801</v>
      </c>
    </row>
    <row r="117" customFormat="false" ht="15" hidden="false" customHeight="false" outlineLevel="0" collapsed="false">
      <c r="A117" s="43" t="s">
        <v>32</v>
      </c>
      <c r="B117" s="43" t="s">
        <v>27</v>
      </c>
      <c r="C117" s="43" t="s">
        <v>59</v>
      </c>
      <c r="D117" s="43" t="s">
        <v>55</v>
      </c>
      <c r="E117" s="44" t="n">
        <v>69</v>
      </c>
      <c r="F117" s="44" t="n">
        <v>500</v>
      </c>
      <c r="G117" s="45" t="n">
        <v>34500</v>
      </c>
      <c r="H117" s="45" t="n">
        <v>1751100</v>
      </c>
      <c r="I117" s="46" t="n">
        <v>0.0197019016618126</v>
      </c>
      <c r="J117" s="45" t="n">
        <v>163918</v>
      </c>
      <c r="K117" s="45" t="n">
        <v>-129418</v>
      </c>
    </row>
    <row r="118" customFormat="false" ht="15" hidden="false" customHeight="false" outlineLevel="0" collapsed="false">
      <c r="A118" s="39" t="s">
        <v>32</v>
      </c>
      <c r="B118" s="39" t="s">
        <v>27</v>
      </c>
      <c r="C118" s="39" t="s">
        <v>60</v>
      </c>
      <c r="D118" s="39" t="s">
        <v>52</v>
      </c>
      <c r="E118" s="40" t="n">
        <v>226</v>
      </c>
      <c r="F118" s="40" t="n">
        <v>1499</v>
      </c>
      <c r="G118" s="41" t="n">
        <v>338774</v>
      </c>
      <c r="H118" s="41" t="n">
        <v>1415184</v>
      </c>
      <c r="I118" s="42" t="n">
        <v>0.239385125891757</v>
      </c>
      <c r="J118" s="41" t="n">
        <v>184066</v>
      </c>
      <c r="K118" s="41" t="n">
        <v>154708</v>
      </c>
    </row>
    <row r="119" customFormat="false" ht="15" hidden="false" customHeight="false" outlineLevel="0" collapsed="false">
      <c r="A119" s="43" t="s">
        <v>32</v>
      </c>
      <c r="B119" s="43" t="s">
        <v>27</v>
      </c>
      <c r="C119" s="43" t="s">
        <v>60</v>
      </c>
      <c r="D119" s="43" t="s">
        <v>53</v>
      </c>
      <c r="E119" s="44" t="n">
        <v>109</v>
      </c>
      <c r="F119" s="44" t="n">
        <v>2499</v>
      </c>
      <c r="G119" s="45" t="n">
        <v>272391</v>
      </c>
      <c r="H119" s="45" t="n">
        <v>1709192</v>
      </c>
      <c r="I119" s="46" t="n">
        <v>0.159368286301364</v>
      </c>
      <c r="J119" s="45" t="n">
        <v>99828</v>
      </c>
      <c r="K119" s="45" t="n">
        <v>172563</v>
      </c>
    </row>
    <row r="120" customFormat="false" ht="15" hidden="false" customHeight="false" outlineLevel="0" collapsed="false">
      <c r="A120" s="39" t="s">
        <v>32</v>
      </c>
      <c r="B120" s="39" t="s">
        <v>27</v>
      </c>
      <c r="C120" s="39" t="s">
        <v>60</v>
      </c>
      <c r="D120" s="39" t="s">
        <v>54</v>
      </c>
      <c r="E120" s="40" t="n">
        <v>180</v>
      </c>
      <c r="F120" s="40" t="n">
        <v>500</v>
      </c>
      <c r="G120" s="41" t="n">
        <v>90000</v>
      </c>
      <c r="H120" s="41" t="n">
        <v>1986430</v>
      </c>
      <c r="I120" s="42" t="n">
        <v>0.0453074107821569</v>
      </c>
      <c r="J120" s="41" t="n">
        <v>164309</v>
      </c>
      <c r="K120" s="41" t="n">
        <v>-74309</v>
      </c>
    </row>
    <row r="121" customFormat="false" ht="15" hidden="false" customHeight="false" outlineLevel="0" collapsed="false">
      <c r="A121" s="43" t="s">
        <v>32</v>
      </c>
      <c r="B121" s="43" t="s">
        <v>27</v>
      </c>
      <c r="C121" s="43" t="s">
        <v>60</v>
      </c>
      <c r="D121" s="43" t="s">
        <v>55</v>
      </c>
      <c r="E121" s="44" t="n">
        <v>50</v>
      </c>
      <c r="F121" s="44" t="n">
        <v>4999</v>
      </c>
      <c r="G121" s="45" t="n">
        <v>249950</v>
      </c>
      <c r="H121" s="45" t="n">
        <v>1629215</v>
      </c>
      <c r="I121" s="46" t="n">
        <v>0.153417443369967</v>
      </c>
      <c r="J121" s="45" t="n">
        <v>101651</v>
      </c>
      <c r="K121" s="45" t="n">
        <v>148299</v>
      </c>
    </row>
    <row r="122" customFormat="false" ht="15" hidden="false" customHeight="false" outlineLevel="0" collapsed="false">
      <c r="A122" s="39" t="s">
        <v>32</v>
      </c>
      <c r="B122" s="39" t="s">
        <v>33</v>
      </c>
      <c r="C122" s="39" t="s">
        <v>61</v>
      </c>
      <c r="D122" s="39" t="s">
        <v>52</v>
      </c>
      <c r="E122" s="40" t="n">
        <v>236</v>
      </c>
      <c r="F122" s="40" t="n">
        <v>2499</v>
      </c>
      <c r="G122" s="41" t="n">
        <v>589764</v>
      </c>
      <c r="H122" s="41" t="n">
        <v>646745</v>
      </c>
      <c r="I122" s="42" t="n">
        <v>0.911895723971581</v>
      </c>
      <c r="J122" s="41" t="n">
        <v>136559</v>
      </c>
      <c r="K122" s="41" t="n">
        <v>453205</v>
      </c>
    </row>
    <row r="123" customFormat="false" ht="15" hidden="false" customHeight="false" outlineLevel="0" collapsed="false">
      <c r="A123" s="43" t="s">
        <v>32</v>
      </c>
      <c r="B123" s="43" t="s">
        <v>33</v>
      </c>
      <c r="C123" s="43" t="s">
        <v>61</v>
      </c>
      <c r="D123" s="43" t="s">
        <v>53</v>
      </c>
      <c r="E123" s="44" t="n">
        <v>369</v>
      </c>
      <c r="F123" s="44" t="n">
        <v>1499</v>
      </c>
      <c r="G123" s="45" t="n">
        <v>553131</v>
      </c>
      <c r="H123" s="45" t="n">
        <v>1891224</v>
      </c>
      <c r="I123" s="46" t="n">
        <v>0.292472494003883</v>
      </c>
      <c r="J123" s="45" t="n">
        <v>82669</v>
      </c>
      <c r="K123" s="45" t="n">
        <v>470462</v>
      </c>
    </row>
    <row r="124" customFormat="false" ht="15" hidden="false" customHeight="false" outlineLevel="0" collapsed="false">
      <c r="A124" s="39" t="s">
        <v>32</v>
      </c>
      <c r="B124" s="39" t="s">
        <v>33</v>
      </c>
      <c r="C124" s="39" t="s">
        <v>61</v>
      </c>
      <c r="D124" s="39" t="s">
        <v>54</v>
      </c>
      <c r="E124" s="40" t="n">
        <v>203</v>
      </c>
      <c r="F124" s="40" t="n">
        <v>4999</v>
      </c>
      <c r="G124" s="41" t="n">
        <v>1014797</v>
      </c>
      <c r="H124" s="41" t="n">
        <v>1148616</v>
      </c>
      <c r="I124" s="42" t="n">
        <v>0.883495441470431</v>
      </c>
      <c r="J124" s="41" t="n">
        <v>157057</v>
      </c>
      <c r="K124" s="41" t="n">
        <v>857740</v>
      </c>
    </row>
    <row r="125" customFormat="false" ht="15" hidden="false" customHeight="false" outlineLevel="0" collapsed="false">
      <c r="A125" s="43" t="s">
        <v>32</v>
      </c>
      <c r="B125" s="43" t="s">
        <v>33</v>
      </c>
      <c r="C125" s="43" t="s">
        <v>61</v>
      </c>
      <c r="D125" s="43" t="s">
        <v>55</v>
      </c>
      <c r="E125" s="44" t="n">
        <v>217</v>
      </c>
      <c r="F125" s="44" t="n">
        <v>2499</v>
      </c>
      <c r="G125" s="45" t="n">
        <v>542283</v>
      </c>
      <c r="H125" s="45" t="n">
        <v>1962152</v>
      </c>
      <c r="I125" s="46" t="n">
        <v>0.276371555312738</v>
      </c>
      <c r="J125" s="45" t="n">
        <v>127504</v>
      </c>
      <c r="K125" s="45" t="n">
        <v>414779</v>
      </c>
    </row>
    <row r="126" customFormat="false" ht="15" hidden="false" customHeight="false" outlineLevel="0" collapsed="false">
      <c r="A126" s="39" t="s">
        <v>32</v>
      </c>
      <c r="B126" s="39" t="s">
        <v>33</v>
      </c>
      <c r="C126" s="39" t="s">
        <v>62</v>
      </c>
      <c r="D126" s="39" t="s">
        <v>52</v>
      </c>
      <c r="E126" s="40" t="n">
        <v>333</v>
      </c>
      <c r="F126" s="40" t="n">
        <v>999</v>
      </c>
      <c r="G126" s="41" t="n">
        <v>332667</v>
      </c>
      <c r="H126" s="41" t="n">
        <v>902317</v>
      </c>
      <c r="I126" s="42" t="n">
        <v>0.368680851629749</v>
      </c>
      <c r="J126" s="41" t="n">
        <v>160217</v>
      </c>
      <c r="K126" s="41" t="n">
        <v>172450</v>
      </c>
    </row>
    <row r="127" customFormat="false" ht="15" hidden="false" customHeight="false" outlineLevel="0" collapsed="false">
      <c r="A127" s="43" t="s">
        <v>32</v>
      </c>
      <c r="B127" s="43" t="s">
        <v>33</v>
      </c>
      <c r="C127" s="43" t="s">
        <v>62</v>
      </c>
      <c r="D127" s="43" t="s">
        <v>53</v>
      </c>
      <c r="E127" s="44" t="n">
        <v>390</v>
      </c>
      <c r="F127" s="44" t="n">
        <v>2499</v>
      </c>
      <c r="G127" s="45" t="n">
        <v>974610</v>
      </c>
      <c r="H127" s="45" t="n">
        <v>1920438</v>
      </c>
      <c r="I127" s="46" t="n">
        <v>0.507493603021811</v>
      </c>
      <c r="J127" s="45" t="n">
        <v>95620</v>
      </c>
      <c r="K127" s="45" t="n">
        <v>878990</v>
      </c>
    </row>
    <row r="128" customFormat="false" ht="15" hidden="false" customHeight="false" outlineLevel="0" collapsed="false">
      <c r="A128" s="39" t="s">
        <v>32</v>
      </c>
      <c r="B128" s="39" t="s">
        <v>33</v>
      </c>
      <c r="C128" s="39" t="s">
        <v>62</v>
      </c>
      <c r="D128" s="39" t="s">
        <v>54</v>
      </c>
      <c r="E128" s="40" t="n">
        <v>365</v>
      </c>
      <c r="F128" s="40" t="n">
        <v>4999</v>
      </c>
      <c r="G128" s="41" t="n">
        <v>1824635</v>
      </c>
      <c r="H128" s="41" t="n">
        <v>1131137</v>
      </c>
      <c r="I128" s="42" t="n">
        <v>1.61309814814651</v>
      </c>
      <c r="J128" s="41" t="n">
        <v>156450</v>
      </c>
      <c r="K128" s="41" t="n">
        <v>1668185</v>
      </c>
    </row>
    <row r="129" customFormat="false" ht="15" hidden="false" customHeight="false" outlineLevel="0" collapsed="false">
      <c r="A129" s="43" t="s">
        <v>32</v>
      </c>
      <c r="B129" s="43" t="s">
        <v>33</v>
      </c>
      <c r="C129" s="43" t="s">
        <v>62</v>
      </c>
      <c r="D129" s="43" t="s">
        <v>55</v>
      </c>
      <c r="E129" s="44" t="n">
        <v>330</v>
      </c>
      <c r="F129" s="44" t="n">
        <v>500</v>
      </c>
      <c r="G129" s="45" t="n">
        <v>165000</v>
      </c>
      <c r="H129" s="45" t="n">
        <v>1137271</v>
      </c>
      <c r="I129" s="46" t="n">
        <v>0.145084153205349</v>
      </c>
      <c r="J129" s="45" t="n">
        <v>125212</v>
      </c>
      <c r="K129" s="45" t="n">
        <v>39788</v>
      </c>
    </row>
    <row r="130" customFormat="false" ht="15" hidden="false" customHeight="false" outlineLevel="0" collapsed="false">
      <c r="A130" s="39" t="s">
        <v>34</v>
      </c>
      <c r="B130" s="39" t="s">
        <v>29</v>
      </c>
      <c r="C130" s="39" t="s">
        <v>51</v>
      </c>
      <c r="D130" s="39" t="s">
        <v>52</v>
      </c>
      <c r="E130" s="40" t="n">
        <v>157</v>
      </c>
      <c r="F130" s="40" t="n">
        <v>2499</v>
      </c>
      <c r="G130" s="41" t="n">
        <v>392343</v>
      </c>
      <c r="H130" s="41" t="n">
        <v>1716316</v>
      </c>
      <c r="I130" s="42" t="n">
        <v>0.228596016118244</v>
      </c>
      <c r="J130" s="41" t="n">
        <v>134475</v>
      </c>
      <c r="K130" s="41" t="n">
        <v>257868</v>
      </c>
    </row>
    <row r="131" customFormat="false" ht="15" hidden="false" customHeight="false" outlineLevel="0" collapsed="false">
      <c r="A131" s="43" t="s">
        <v>34</v>
      </c>
      <c r="B131" s="43" t="s">
        <v>29</v>
      </c>
      <c r="C131" s="43" t="s">
        <v>51</v>
      </c>
      <c r="D131" s="43" t="s">
        <v>53</v>
      </c>
      <c r="E131" s="44" t="n">
        <v>288</v>
      </c>
      <c r="F131" s="44" t="n">
        <v>2499</v>
      </c>
      <c r="G131" s="45" t="n">
        <v>719712</v>
      </c>
      <c r="H131" s="45" t="n">
        <v>1427276</v>
      </c>
      <c r="I131" s="46" t="n">
        <v>0.50425565903161</v>
      </c>
      <c r="J131" s="45" t="n">
        <v>106020</v>
      </c>
      <c r="K131" s="45" t="n">
        <v>613692</v>
      </c>
    </row>
    <row r="132" customFormat="false" ht="15" hidden="false" customHeight="false" outlineLevel="0" collapsed="false">
      <c r="A132" s="39" t="s">
        <v>34</v>
      </c>
      <c r="B132" s="39" t="s">
        <v>29</v>
      </c>
      <c r="C132" s="39" t="s">
        <v>51</v>
      </c>
      <c r="D132" s="39" t="s">
        <v>54</v>
      </c>
      <c r="E132" s="40" t="n">
        <v>311</v>
      </c>
      <c r="F132" s="40" t="n">
        <v>2499</v>
      </c>
      <c r="G132" s="41" t="n">
        <v>777189</v>
      </c>
      <c r="H132" s="41" t="n">
        <v>855868</v>
      </c>
      <c r="I132" s="42" t="n">
        <v>0.908071104422645</v>
      </c>
      <c r="J132" s="41" t="n">
        <v>72228</v>
      </c>
      <c r="K132" s="41" t="n">
        <v>704961</v>
      </c>
    </row>
    <row r="133" customFormat="false" ht="15" hidden="false" customHeight="false" outlineLevel="0" collapsed="false">
      <c r="A133" s="43" t="s">
        <v>34</v>
      </c>
      <c r="B133" s="43" t="s">
        <v>29</v>
      </c>
      <c r="C133" s="43" t="s">
        <v>51</v>
      </c>
      <c r="D133" s="43" t="s">
        <v>55</v>
      </c>
      <c r="E133" s="44" t="n">
        <v>195</v>
      </c>
      <c r="F133" s="44" t="n">
        <v>4999</v>
      </c>
      <c r="G133" s="45" t="n">
        <v>974805</v>
      </c>
      <c r="H133" s="45" t="n">
        <v>1892202</v>
      </c>
      <c r="I133" s="46" t="n">
        <v>0.515169627767014</v>
      </c>
      <c r="J133" s="45" t="n">
        <v>137867</v>
      </c>
      <c r="K133" s="45" t="n">
        <v>836938</v>
      </c>
    </row>
    <row r="134" customFormat="false" ht="15" hidden="false" customHeight="false" outlineLevel="0" collapsed="false">
      <c r="A134" s="39" t="s">
        <v>34</v>
      </c>
      <c r="B134" s="39" t="s">
        <v>29</v>
      </c>
      <c r="C134" s="39" t="s">
        <v>56</v>
      </c>
      <c r="D134" s="39" t="s">
        <v>52</v>
      </c>
      <c r="E134" s="40" t="n">
        <v>97</v>
      </c>
      <c r="F134" s="40" t="n">
        <v>999</v>
      </c>
      <c r="G134" s="41" t="n">
        <v>96903</v>
      </c>
      <c r="H134" s="41" t="n">
        <v>1910954</v>
      </c>
      <c r="I134" s="42" t="n">
        <v>0.0507092269097006</v>
      </c>
      <c r="J134" s="41" t="n">
        <v>131374</v>
      </c>
      <c r="K134" s="41" t="n">
        <v>-34471</v>
      </c>
    </row>
    <row r="135" customFormat="false" ht="15" hidden="false" customHeight="false" outlineLevel="0" collapsed="false">
      <c r="A135" s="43" t="s">
        <v>34</v>
      </c>
      <c r="B135" s="43" t="s">
        <v>29</v>
      </c>
      <c r="C135" s="43" t="s">
        <v>56</v>
      </c>
      <c r="D135" s="43" t="s">
        <v>53</v>
      </c>
      <c r="E135" s="44" t="n">
        <v>165</v>
      </c>
      <c r="F135" s="44" t="n">
        <v>999</v>
      </c>
      <c r="G135" s="45" t="n">
        <v>164835</v>
      </c>
      <c r="H135" s="45" t="n">
        <v>809023</v>
      </c>
      <c r="I135" s="46" t="n">
        <v>0.203745752592942</v>
      </c>
      <c r="J135" s="45" t="n">
        <v>56402</v>
      </c>
      <c r="K135" s="45" t="n">
        <v>108433</v>
      </c>
    </row>
    <row r="136" customFormat="false" ht="15" hidden="false" customHeight="false" outlineLevel="0" collapsed="false">
      <c r="A136" s="39" t="s">
        <v>34</v>
      </c>
      <c r="B136" s="39" t="s">
        <v>29</v>
      </c>
      <c r="C136" s="39" t="s">
        <v>56</v>
      </c>
      <c r="D136" s="39" t="s">
        <v>54</v>
      </c>
      <c r="E136" s="40" t="n">
        <v>73</v>
      </c>
      <c r="F136" s="40" t="n">
        <v>999</v>
      </c>
      <c r="G136" s="41" t="n">
        <v>72927</v>
      </c>
      <c r="H136" s="41" t="n">
        <v>1496433</v>
      </c>
      <c r="I136" s="42" t="n">
        <v>0.0487338891884902</v>
      </c>
      <c r="J136" s="41" t="n">
        <v>69091</v>
      </c>
      <c r="K136" s="41" t="n">
        <v>3836</v>
      </c>
    </row>
    <row r="137" customFormat="false" ht="15" hidden="false" customHeight="false" outlineLevel="0" collapsed="false">
      <c r="A137" s="43" t="s">
        <v>34</v>
      </c>
      <c r="B137" s="43" t="s">
        <v>29</v>
      </c>
      <c r="C137" s="43" t="s">
        <v>56</v>
      </c>
      <c r="D137" s="43" t="s">
        <v>55</v>
      </c>
      <c r="E137" s="44" t="n">
        <v>283</v>
      </c>
      <c r="F137" s="44" t="n">
        <v>2499</v>
      </c>
      <c r="G137" s="45" t="n">
        <v>707217</v>
      </c>
      <c r="H137" s="45" t="n">
        <v>1820713</v>
      </c>
      <c r="I137" s="46" t="n">
        <v>0.388428599125727</v>
      </c>
      <c r="J137" s="45" t="n">
        <v>100970</v>
      </c>
      <c r="K137" s="45" t="n">
        <v>606247</v>
      </c>
    </row>
    <row r="138" customFormat="false" ht="15" hidden="false" customHeight="false" outlineLevel="0" collapsed="false">
      <c r="A138" s="39" t="s">
        <v>34</v>
      </c>
      <c r="B138" s="39" t="s">
        <v>31</v>
      </c>
      <c r="C138" s="39" t="s">
        <v>57</v>
      </c>
      <c r="D138" s="39" t="s">
        <v>52</v>
      </c>
      <c r="E138" s="40" t="n">
        <v>246</v>
      </c>
      <c r="F138" s="40" t="n">
        <v>2499</v>
      </c>
      <c r="G138" s="41" t="n">
        <v>614754</v>
      </c>
      <c r="H138" s="41" t="n">
        <v>1338132</v>
      </c>
      <c r="I138" s="42" t="n">
        <v>0.459412075938697</v>
      </c>
      <c r="J138" s="41" t="n">
        <v>113959</v>
      </c>
      <c r="K138" s="41" t="n">
        <v>500795</v>
      </c>
    </row>
    <row r="139" customFormat="false" ht="15" hidden="false" customHeight="false" outlineLevel="0" collapsed="false">
      <c r="A139" s="43" t="s">
        <v>34</v>
      </c>
      <c r="B139" s="43" t="s">
        <v>31</v>
      </c>
      <c r="C139" s="43" t="s">
        <v>57</v>
      </c>
      <c r="D139" s="43" t="s">
        <v>53</v>
      </c>
      <c r="E139" s="44" t="n">
        <v>125</v>
      </c>
      <c r="F139" s="44" t="n">
        <v>500</v>
      </c>
      <c r="G139" s="45" t="n">
        <v>62500</v>
      </c>
      <c r="H139" s="45" t="n">
        <v>723529</v>
      </c>
      <c r="I139" s="46" t="n">
        <v>0.0863821629817188</v>
      </c>
      <c r="J139" s="45" t="n">
        <v>161449</v>
      </c>
      <c r="K139" s="45" t="n">
        <v>-98949</v>
      </c>
    </row>
    <row r="140" customFormat="false" ht="15" hidden="false" customHeight="false" outlineLevel="0" collapsed="false">
      <c r="A140" s="39" t="s">
        <v>34</v>
      </c>
      <c r="B140" s="39" t="s">
        <v>31</v>
      </c>
      <c r="C140" s="39" t="s">
        <v>57</v>
      </c>
      <c r="D140" s="39" t="s">
        <v>54</v>
      </c>
      <c r="E140" s="40" t="n">
        <v>162</v>
      </c>
      <c r="F140" s="40" t="n">
        <v>999</v>
      </c>
      <c r="G140" s="41" t="n">
        <v>161838</v>
      </c>
      <c r="H140" s="41" t="n">
        <v>1959432</v>
      </c>
      <c r="I140" s="42" t="n">
        <v>0.0825943436669402</v>
      </c>
      <c r="J140" s="41" t="n">
        <v>185779</v>
      </c>
      <c r="K140" s="41" t="n">
        <v>-23941</v>
      </c>
    </row>
    <row r="141" customFormat="false" ht="15" hidden="false" customHeight="false" outlineLevel="0" collapsed="false">
      <c r="A141" s="43" t="s">
        <v>34</v>
      </c>
      <c r="B141" s="43" t="s">
        <v>31</v>
      </c>
      <c r="C141" s="43" t="s">
        <v>57</v>
      </c>
      <c r="D141" s="43" t="s">
        <v>55</v>
      </c>
      <c r="E141" s="44" t="n">
        <v>287</v>
      </c>
      <c r="F141" s="44" t="n">
        <v>500</v>
      </c>
      <c r="G141" s="45" t="n">
        <v>143500</v>
      </c>
      <c r="H141" s="45" t="n">
        <v>1668964</v>
      </c>
      <c r="I141" s="46" t="n">
        <v>0.0859814831236623</v>
      </c>
      <c r="J141" s="45" t="n">
        <v>115325</v>
      </c>
      <c r="K141" s="45" t="n">
        <v>28175</v>
      </c>
    </row>
    <row r="142" customFormat="false" ht="15" hidden="false" customHeight="false" outlineLevel="0" collapsed="false">
      <c r="A142" s="39" t="s">
        <v>34</v>
      </c>
      <c r="B142" s="39" t="s">
        <v>31</v>
      </c>
      <c r="C142" s="39" t="s">
        <v>58</v>
      </c>
      <c r="D142" s="39" t="s">
        <v>52</v>
      </c>
      <c r="E142" s="40" t="n">
        <v>112</v>
      </c>
      <c r="F142" s="40" t="n">
        <v>2499</v>
      </c>
      <c r="G142" s="41" t="n">
        <v>279888</v>
      </c>
      <c r="H142" s="41" t="n">
        <v>779632</v>
      </c>
      <c r="I142" s="42" t="n">
        <v>0.359000143657521</v>
      </c>
      <c r="J142" s="41" t="n">
        <v>171803</v>
      </c>
      <c r="K142" s="41" t="n">
        <v>108085</v>
      </c>
    </row>
    <row r="143" customFormat="false" ht="15" hidden="false" customHeight="false" outlineLevel="0" collapsed="false">
      <c r="A143" s="43" t="s">
        <v>34</v>
      </c>
      <c r="B143" s="43" t="s">
        <v>31</v>
      </c>
      <c r="C143" s="43" t="s">
        <v>58</v>
      </c>
      <c r="D143" s="43" t="s">
        <v>53</v>
      </c>
      <c r="E143" s="44" t="n">
        <v>391</v>
      </c>
      <c r="F143" s="44" t="n">
        <v>4999</v>
      </c>
      <c r="G143" s="45" t="n">
        <v>1954609</v>
      </c>
      <c r="H143" s="45" t="n">
        <v>1672151</v>
      </c>
      <c r="I143" s="46" t="n">
        <v>1.16891895528574</v>
      </c>
      <c r="J143" s="45" t="n">
        <v>133177</v>
      </c>
      <c r="K143" s="45" t="n">
        <v>1821432</v>
      </c>
    </row>
    <row r="144" customFormat="false" ht="15" hidden="false" customHeight="false" outlineLevel="0" collapsed="false">
      <c r="A144" s="39" t="s">
        <v>34</v>
      </c>
      <c r="B144" s="39" t="s">
        <v>31</v>
      </c>
      <c r="C144" s="39" t="s">
        <v>58</v>
      </c>
      <c r="D144" s="39" t="s">
        <v>54</v>
      </c>
      <c r="E144" s="40" t="n">
        <v>276</v>
      </c>
      <c r="F144" s="40" t="n">
        <v>4999</v>
      </c>
      <c r="G144" s="41" t="n">
        <v>1379724</v>
      </c>
      <c r="H144" s="41" t="n">
        <v>1558596</v>
      </c>
      <c r="I144" s="42" t="n">
        <v>0.885235173194336</v>
      </c>
      <c r="J144" s="41" t="n">
        <v>161867</v>
      </c>
      <c r="K144" s="41" t="n">
        <v>1217857</v>
      </c>
    </row>
    <row r="145" customFormat="false" ht="15" hidden="false" customHeight="false" outlineLevel="0" collapsed="false">
      <c r="A145" s="43" t="s">
        <v>34</v>
      </c>
      <c r="B145" s="43" t="s">
        <v>31</v>
      </c>
      <c r="C145" s="43" t="s">
        <v>58</v>
      </c>
      <c r="D145" s="43" t="s">
        <v>55</v>
      </c>
      <c r="E145" s="44" t="n">
        <v>330</v>
      </c>
      <c r="F145" s="44" t="n">
        <v>2499</v>
      </c>
      <c r="G145" s="45" t="n">
        <v>824670</v>
      </c>
      <c r="H145" s="45" t="n">
        <v>833778</v>
      </c>
      <c r="I145" s="46" t="n">
        <v>0.989076228924246</v>
      </c>
      <c r="J145" s="45" t="n">
        <v>174433</v>
      </c>
      <c r="K145" s="45" t="n">
        <v>650237</v>
      </c>
    </row>
    <row r="146" customFormat="false" ht="15" hidden="false" customHeight="false" outlineLevel="0" collapsed="false">
      <c r="A146" s="39" t="s">
        <v>34</v>
      </c>
      <c r="B146" s="39" t="s">
        <v>27</v>
      </c>
      <c r="C146" s="39" t="s">
        <v>59</v>
      </c>
      <c r="D146" s="39" t="s">
        <v>52</v>
      </c>
      <c r="E146" s="40" t="n">
        <v>280</v>
      </c>
      <c r="F146" s="40" t="n">
        <v>1499</v>
      </c>
      <c r="G146" s="41" t="n">
        <v>419720</v>
      </c>
      <c r="H146" s="41" t="n">
        <v>1018499</v>
      </c>
      <c r="I146" s="42" t="n">
        <v>0.412096624542587</v>
      </c>
      <c r="J146" s="41" t="n">
        <v>122695</v>
      </c>
      <c r="K146" s="41" t="n">
        <v>297025</v>
      </c>
    </row>
    <row r="147" customFormat="false" ht="15" hidden="false" customHeight="false" outlineLevel="0" collapsed="false">
      <c r="A147" s="43" t="s">
        <v>34</v>
      </c>
      <c r="B147" s="43" t="s">
        <v>27</v>
      </c>
      <c r="C147" s="43" t="s">
        <v>59</v>
      </c>
      <c r="D147" s="43" t="s">
        <v>53</v>
      </c>
      <c r="E147" s="44" t="n">
        <v>316</v>
      </c>
      <c r="F147" s="44" t="n">
        <v>2499</v>
      </c>
      <c r="G147" s="45" t="n">
        <v>789684</v>
      </c>
      <c r="H147" s="45" t="n">
        <v>1814386</v>
      </c>
      <c r="I147" s="46" t="n">
        <v>0.435234839774998</v>
      </c>
      <c r="J147" s="45" t="n">
        <v>112716</v>
      </c>
      <c r="K147" s="45" t="n">
        <v>676968</v>
      </c>
    </row>
    <row r="148" customFormat="false" ht="15" hidden="false" customHeight="false" outlineLevel="0" collapsed="false">
      <c r="A148" s="39" t="s">
        <v>34</v>
      </c>
      <c r="B148" s="39" t="s">
        <v>27</v>
      </c>
      <c r="C148" s="39" t="s">
        <v>59</v>
      </c>
      <c r="D148" s="39" t="s">
        <v>54</v>
      </c>
      <c r="E148" s="40" t="n">
        <v>190</v>
      </c>
      <c r="F148" s="40" t="n">
        <v>2499</v>
      </c>
      <c r="G148" s="41" t="n">
        <v>474810</v>
      </c>
      <c r="H148" s="41" t="n">
        <v>662494</v>
      </c>
      <c r="I148" s="42" t="n">
        <v>0.716700830498088</v>
      </c>
      <c r="J148" s="41" t="n">
        <v>124901</v>
      </c>
      <c r="K148" s="41" t="n">
        <v>349909</v>
      </c>
    </row>
    <row r="149" customFormat="false" ht="15" hidden="false" customHeight="false" outlineLevel="0" collapsed="false">
      <c r="A149" s="43" t="s">
        <v>34</v>
      </c>
      <c r="B149" s="43" t="s">
        <v>27</v>
      </c>
      <c r="C149" s="43" t="s">
        <v>59</v>
      </c>
      <c r="D149" s="43" t="s">
        <v>55</v>
      </c>
      <c r="E149" s="44" t="n">
        <v>170</v>
      </c>
      <c r="F149" s="44" t="n">
        <v>1499</v>
      </c>
      <c r="G149" s="45" t="n">
        <v>254830</v>
      </c>
      <c r="H149" s="45" t="n">
        <v>1204323</v>
      </c>
      <c r="I149" s="46" t="n">
        <v>0.21159605853247</v>
      </c>
      <c r="J149" s="45" t="n">
        <v>133809</v>
      </c>
      <c r="K149" s="45" t="n">
        <v>121021</v>
      </c>
    </row>
    <row r="150" customFormat="false" ht="15" hidden="false" customHeight="false" outlineLevel="0" collapsed="false">
      <c r="A150" s="39" t="s">
        <v>34</v>
      </c>
      <c r="B150" s="39" t="s">
        <v>27</v>
      </c>
      <c r="C150" s="39" t="s">
        <v>60</v>
      </c>
      <c r="D150" s="39" t="s">
        <v>52</v>
      </c>
      <c r="E150" s="40" t="n">
        <v>326</v>
      </c>
      <c r="F150" s="40" t="n">
        <v>500</v>
      </c>
      <c r="G150" s="41" t="n">
        <v>163000</v>
      </c>
      <c r="H150" s="41" t="n">
        <v>790191</v>
      </c>
      <c r="I150" s="42" t="n">
        <v>0.206279241347978</v>
      </c>
      <c r="J150" s="41" t="n">
        <v>89539</v>
      </c>
      <c r="K150" s="41" t="n">
        <v>73461</v>
      </c>
    </row>
    <row r="151" customFormat="false" ht="15" hidden="false" customHeight="false" outlineLevel="0" collapsed="false">
      <c r="A151" s="43" t="s">
        <v>34</v>
      </c>
      <c r="B151" s="43" t="s">
        <v>27</v>
      </c>
      <c r="C151" s="43" t="s">
        <v>60</v>
      </c>
      <c r="D151" s="43" t="s">
        <v>53</v>
      </c>
      <c r="E151" s="44" t="n">
        <v>168</v>
      </c>
      <c r="F151" s="44" t="n">
        <v>2499</v>
      </c>
      <c r="G151" s="45" t="n">
        <v>419832</v>
      </c>
      <c r="H151" s="45" t="n">
        <v>1955318</v>
      </c>
      <c r="I151" s="46" t="n">
        <v>0.214712900919441</v>
      </c>
      <c r="J151" s="45" t="n">
        <v>90056</v>
      </c>
      <c r="K151" s="45" t="n">
        <v>329776</v>
      </c>
    </row>
    <row r="152" customFormat="false" ht="15" hidden="false" customHeight="false" outlineLevel="0" collapsed="false">
      <c r="A152" s="39" t="s">
        <v>34</v>
      </c>
      <c r="B152" s="39" t="s">
        <v>27</v>
      </c>
      <c r="C152" s="39" t="s">
        <v>60</v>
      </c>
      <c r="D152" s="39" t="s">
        <v>54</v>
      </c>
      <c r="E152" s="40" t="n">
        <v>159</v>
      </c>
      <c r="F152" s="40" t="n">
        <v>500</v>
      </c>
      <c r="G152" s="41" t="n">
        <v>79500</v>
      </c>
      <c r="H152" s="41" t="n">
        <v>1370041</v>
      </c>
      <c r="I152" s="42" t="n">
        <v>0.0580274604920583</v>
      </c>
      <c r="J152" s="41" t="n">
        <v>156849</v>
      </c>
      <c r="K152" s="41" t="n">
        <v>-77349</v>
      </c>
    </row>
    <row r="153" customFormat="false" ht="15" hidden="false" customHeight="false" outlineLevel="0" collapsed="false">
      <c r="A153" s="43" t="s">
        <v>34</v>
      </c>
      <c r="B153" s="43" t="s">
        <v>27</v>
      </c>
      <c r="C153" s="43" t="s">
        <v>60</v>
      </c>
      <c r="D153" s="43" t="s">
        <v>55</v>
      </c>
      <c r="E153" s="44" t="n">
        <v>219</v>
      </c>
      <c r="F153" s="44" t="n">
        <v>4999</v>
      </c>
      <c r="G153" s="45" t="n">
        <v>1094781</v>
      </c>
      <c r="H153" s="45" t="n">
        <v>1477114</v>
      </c>
      <c r="I153" s="46" t="n">
        <v>0.741162158100187</v>
      </c>
      <c r="J153" s="45" t="n">
        <v>158992</v>
      </c>
      <c r="K153" s="45" t="n">
        <v>935789</v>
      </c>
    </row>
    <row r="154" customFormat="false" ht="15" hidden="false" customHeight="false" outlineLevel="0" collapsed="false">
      <c r="A154" s="39" t="s">
        <v>34</v>
      </c>
      <c r="B154" s="39" t="s">
        <v>33</v>
      </c>
      <c r="C154" s="39" t="s">
        <v>61</v>
      </c>
      <c r="D154" s="39" t="s">
        <v>52</v>
      </c>
      <c r="E154" s="40" t="n">
        <v>81</v>
      </c>
      <c r="F154" s="40" t="n">
        <v>999</v>
      </c>
      <c r="G154" s="41" t="n">
        <v>80919</v>
      </c>
      <c r="H154" s="41" t="n">
        <v>1381104</v>
      </c>
      <c r="I154" s="42" t="n">
        <v>0.0585900844541758</v>
      </c>
      <c r="J154" s="41" t="n">
        <v>152099</v>
      </c>
      <c r="K154" s="41" t="n">
        <v>-71180</v>
      </c>
    </row>
    <row r="155" customFormat="false" ht="15" hidden="false" customHeight="false" outlineLevel="0" collapsed="false">
      <c r="A155" s="43" t="s">
        <v>34</v>
      </c>
      <c r="B155" s="43" t="s">
        <v>33</v>
      </c>
      <c r="C155" s="43" t="s">
        <v>61</v>
      </c>
      <c r="D155" s="43" t="s">
        <v>53</v>
      </c>
      <c r="E155" s="44" t="n">
        <v>349</v>
      </c>
      <c r="F155" s="44" t="n">
        <v>500</v>
      </c>
      <c r="G155" s="45" t="n">
        <v>174500</v>
      </c>
      <c r="H155" s="45" t="n">
        <v>1707310</v>
      </c>
      <c r="I155" s="46" t="n">
        <v>0.102207566288489</v>
      </c>
      <c r="J155" s="45" t="n">
        <v>149714</v>
      </c>
      <c r="K155" s="45" t="n">
        <v>24786</v>
      </c>
    </row>
    <row r="156" customFormat="false" ht="15" hidden="false" customHeight="false" outlineLevel="0" collapsed="false">
      <c r="A156" s="39" t="s">
        <v>34</v>
      </c>
      <c r="B156" s="39" t="s">
        <v>33</v>
      </c>
      <c r="C156" s="39" t="s">
        <v>61</v>
      </c>
      <c r="D156" s="39" t="s">
        <v>54</v>
      </c>
      <c r="E156" s="40" t="n">
        <v>294</v>
      </c>
      <c r="F156" s="40" t="n">
        <v>500</v>
      </c>
      <c r="G156" s="41" t="n">
        <v>147000</v>
      </c>
      <c r="H156" s="41" t="n">
        <v>1237691</v>
      </c>
      <c r="I156" s="42" t="n">
        <v>0.118769547488024</v>
      </c>
      <c r="J156" s="41" t="n">
        <v>128279</v>
      </c>
      <c r="K156" s="41" t="n">
        <v>18721</v>
      </c>
    </row>
    <row r="157" customFormat="false" ht="15" hidden="false" customHeight="false" outlineLevel="0" collapsed="false">
      <c r="A157" s="43" t="s">
        <v>34</v>
      </c>
      <c r="B157" s="43" t="s">
        <v>33</v>
      </c>
      <c r="C157" s="43" t="s">
        <v>61</v>
      </c>
      <c r="D157" s="43" t="s">
        <v>55</v>
      </c>
      <c r="E157" s="44" t="n">
        <v>249</v>
      </c>
      <c r="F157" s="44" t="n">
        <v>2499</v>
      </c>
      <c r="G157" s="45" t="n">
        <v>622251</v>
      </c>
      <c r="H157" s="45" t="n">
        <v>1628730</v>
      </c>
      <c r="I157" s="46" t="n">
        <v>0.382046748079792</v>
      </c>
      <c r="J157" s="45" t="n">
        <v>193165</v>
      </c>
      <c r="K157" s="45" t="n">
        <v>429086</v>
      </c>
    </row>
    <row r="158" customFormat="false" ht="15" hidden="false" customHeight="false" outlineLevel="0" collapsed="false">
      <c r="A158" s="39" t="s">
        <v>34</v>
      </c>
      <c r="B158" s="39" t="s">
        <v>33</v>
      </c>
      <c r="C158" s="39" t="s">
        <v>62</v>
      </c>
      <c r="D158" s="39" t="s">
        <v>52</v>
      </c>
      <c r="E158" s="40" t="n">
        <v>358</v>
      </c>
      <c r="F158" s="40" t="n">
        <v>999</v>
      </c>
      <c r="G158" s="41" t="n">
        <v>357642</v>
      </c>
      <c r="H158" s="41" t="n">
        <v>1523891</v>
      </c>
      <c r="I158" s="42" t="n">
        <v>0.234690013918318</v>
      </c>
      <c r="J158" s="41" t="n">
        <v>107520</v>
      </c>
      <c r="K158" s="41" t="n">
        <v>250122</v>
      </c>
    </row>
    <row r="159" customFormat="false" ht="15" hidden="false" customHeight="false" outlineLevel="0" collapsed="false">
      <c r="A159" s="43" t="s">
        <v>34</v>
      </c>
      <c r="B159" s="43" t="s">
        <v>33</v>
      </c>
      <c r="C159" s="43" t="s">
        <v>62</v>
      </c>
      <c r="D159" s="43" t="s">
        <v>53</v>
      </c>
      <c r="E159" s="44" t="n">
        <v>189</v>
      </c>
      <c r="F159" s="44" t="n">
        <v>2499</v>
      </c>
      <c r="G159" s="45" t="n">
        <v>472311</v>
      </c>
      <c r="H159" s="45" t="n">
        <v>1518465</v>
      </c>
      <c r="I159" s="46" t="n">
        <v>0.311045035611621</v>
      </c>
      <c r="J159" s="45" t="n">
        <v>57608</v>
      </c>
      <c r="K159" s="45" t="n">
        <v>414703</v>
      </c>
    </row>
    <row r="160" customFormat="false" ht="15" hidden="false" customHeight="false" outlineLevel="0" collapsed="false">
      <c r="A160" s="39" t="s">
        <v>34</v>
      </c>
      <c r="B160" s="39" t="s">
        <v>33</v>
      </c>
      <c r="C160" s="39" t="s">
        <v>62</v>
      </c>
      <c r="D160" s="39" t="s">
        <v>54</v>
      </c>
      <c r="E160" s="40" t="n">
        <v>249</v>
      </c>
      <c r="F160" s="40" t="n">
        <v>1499</v>
      </c>
      <c r="G160" s="41" t="n">
        <v>373251</v>
      </c>
      <c r="H160" s="41" t="n">
        <v>1902729</v>
      </c>
      <c r="I160" s="42" t="n">
        <v>0.196166138215164</v>
      </c>
      <c r="J160" s="41" t="n">
        <v>155989</v>
      </c>
      <c r="K160" s="41" t="n">
        <v>217262</v>
      </c>
    </row>
    <row r="161" customFormat="false" ht="15" hidden="false" customHeight="false" outlineLevel="0" collapsed="false">
      <c r="A161" s="43" t="s">
        <v>34</v>
      </c>
      <c r="B161" s="43" t="s">
        <v>33</v>
      </c>
      <c r="C161" s="43" t="s">
        <v>62</v>
      </c>
      <c r="D161" s="43" t="s">
        <v>55</v>
      </c>
      <c r="E161" s="44" t="n">
        <v>134</v>
      </c>
      <c r="F161" s="44" t="n">
        <v>2499</v>
      </c>
      <c r="G161" s="45" t="n">
        <v>334866</v>
      </c>
      <c r="H161" s="45" t="n">
        <v>767654</v>
      </c>
      <c r="I161" s="46" t="n">
        <v>0.436219963681555</v>
      </c>
      <c r="J161" s="45" t="n">
        <v>190017</v>
      </c>
      <c r="K161" s="45" t="n">
        <v>144849</v>
      </c>
    </row>
    <row r="162" customFormat="false" ht="15" hidden="false" customHeight="false" outlineLevel="0" collapsed="false">
      <c r="A162" s="39" t="s">
        <v>35</v>
      </c>
      <c r="B162" s="39" t="s">
        <v>29</v>
      </c>
      <c r="C162" s="39" t="s">
        <v>51</v>
      </c>
      <c r="D162" s="39" t="s">
        <v>52</v>
      </c>
      <c r="E162" s="40" t="n">
        <v>63</v>
      </c>
      <c r="F162" s="40" t="n">
        <v>2499</v>
      </c>
      <c r="G162" s="41" t="n">
        <v>157437</v>
      </c>
      <c r="H162" s="41" t="n">
        <v>1741289</v>
      </c>
      <c r="I162" s="42" t="n">
        <v>0.0904140553348697</v>
      </c>
      <c r="J162" s="41" t="n">
        <v>197951</v>
      </c>
      <c r="K162" s="41" t="n">
        <v>-40514</v>
      </c>
    </row>
    <row r="163" customFormat="false" ht="15" hidden="false" customHeight="false" outlineLevel="0" collapsed="false">
      <c r="A163" s="43" t="s">
        <v>35</v>
      </c>
      <c r="B163" s="43" t="s">
        <v>29</v>
      </c>
      <c r="C163" s="43" t="s">
        <v>51</v>
      </c>
      <c r="D163" s="43" t="s">
        <v>53</v>
      </c>
      <c r="E163" s="44" t="n">
        <v>389</v>
      </c>
      <c r="F163" s="44" t="n">
        <v>500</v>
      </c>
      <c r="G163" s="45" t="n">
        <v>194500</v>
      </c>
      <c r="H163" s="45" t="n">
        <v>676050</v>
      </c>
      <c r="I163" s="46" t="n">
        <v>0.287700613859922</v>
      </c>
      <c r="J163" s="45" t="n">
        <v>162358</v>
      </c>
      <c r="K163" s="45" t="n">
        <v>32142</v>
      </c>
    </row>
    <row r="164" customFormat="false" ht="15" hidden="false" customHeight="false" outlineLevel="0" collapsed="false">
      <c r="A164" s="39" t="s">
        <v>35</v>
      </c>
      <c r="B164" s="39" t="s">
        <v>29</v>
      </c>
      <c r="C164" s="39" t="s">
        <v>51</v>
      </c>
      <c r="D164" s="39" t="s">
        <v>54</v>
      </c>
      <c r="E164" s="40" t="n">
        <v>119</v>
      </c>
      <c r="F164" s="40" t="n">
        <v>2499</v>
      </c>
      <c r="G164" s="41" t="n">
        <v>297381</v>
      </c>
      <c r="H164" s="41" t="n">
        <v>881113</v>
      </c>
      <c r="I164" s="42" t="n">
        <v>0.337506086052527</v>
      </c>
      <c r="J164" s="41" t="n">
        <v>63181</v>
      </c>
      <c r="K164" s="41" t="n">
        <v>234200</v>
      </c>
    </row>
    <row r="165" customFormat="false" ht="15" hidden="false" customHeight="false" outlineLevel="0" collapsed="false">
      <c r="A165" s="43" t="s">
        <v>35</v>
      </c>
      <c r="B165" s="43" t="s">
        <v>29</v>
      </c>
      <c r="C165" s="43" t="s">
        <v>51</v>
      </c>
      <c r="D165" s="43" t="s">
        <v>55</v>
      </c>
      <c r="E165" s="44" t="n">
        <v>183</v>
      </c>
      <c r="F165" s="44" t="n">
        <v>2499</v>
      </c>
      <c r="G165" s="45" t="n">
        <v>457317</v>
      </c>
      <c r="H165" s="45" t="n">
        <v>1186508</v>
      </c>
      <c r="I165" s="46" t="n">
        <v>0.385431029542152</v>
      </c>
      <c r="J165" s="45" t="n">
        <v>105485</v>
      </c>
      <c r="K165" s="45" t="n">
        <v>351832</v>
      </c>
    </row>
    <row r="166" customFormat="false" ht="15" hidden="false" customHeight="false" outlineLevel="0" collapsed="false">
      <c r="A166" s="39" t="s">
        <v>35</v>
      </c>
      <c r="B166" s="39" t="s">
        <v>29</v>
      </c>
      <c r="C166" s="39" t="s">
        <v>56</v>
      </c>
      <c r="D166" s="39" t="s">
        <v>52</v>
      </c>
      <c r="E166" s="40" t="n">
        <v>282</v>
      </c>
      <c r="F166" s="40" t="n">
        <v>1499</v>
      </c>
      <c r="G166" s="41" t="n">
        <v>422718</v>
      </c>
      <c r="H166" s="41" t="n">
        <v>1207789</v>
      </c>
      <c r="I166" s="42" t="n">
        <v>0.349993252132616</v>
      </c>
      <c r="J166" s="41" t="n">
        <v>149385</v>
      </c>
      <c r="K166" s="41" t="n">
        <v>273333</v>
      </c>
    </row>
    <row r="167" customFormat="false" ht="15" hidden="false" customHeight="false" outlineLevel="0" collapsed="false">
      <c r="A167" s="43" t="s">
        <v>35</v>
      </c>
      <c r="B167" s="43" t="s">
        <v>29</v>
      </c>
      <c r="C167" s="43" t="s">
        <v>56</v>
      </c>
      <c r="D167" s="43" t="s">
        <v>53</v>
      </c>
      <c r="E167" s="44" t="n">
        <v>192</v>
      </c>
      <c r="F167" s="44" t="n">
        <v>2499</v>
      </c>
      <c r="G167" s="45" t="n">
        <v>479808</v>
      </c>
      <c r="H167" s="45" t="n">
        <v>1029051</v>
      </c>
      <c r="I167" s="46" t="n">
        <v>0.466262605060391</v>
      </c>
      <c r="J167" s="45" t="n">
        <v>71471</v>
      </c>
      <c r="K167" s="45" t="n">
        <v>408337</v>
      </c>
    </row>
    <row r="168" customFormat="false" ht="15" hidden="false" customHeight="false" outlineLevel="0" collapsed="false">
      <c r="A168" s="39" t="s">
        <v>35</v>
      </c>
      <c r="B168" s="39" t="s">
        <v>29</v>
      </c>
      <c r="C168" s="39" t="s">
        <v>56</v>
      </c>
      <c r="D168" s="39" t="s">
        <v>54</v>
      </c>
      <c r="E168" s="40" t="n">
        <v>290</v>
      </c>
      <c r="F168" s="40" t="n">
        <v>500</v>
      </c>
      <c r="G168" s="41" t="n">
        <v>145000</v>
      </c>
      <c r="H168" s="41" t="n">
        <v>1631243</v>
      </c>
      <c r="I168" s="42" t="n">
        <v>0.0888892703294359</v>
      </c>
      <c r="J168" s="41" t="n">
        <v>63653</v>
      </c>
      <c r="K168" s="41" t="n">
        <v>81347</v>
      </c>
    </row>
    <row r="169" customFormat="false" ht="15" hidden="false" customHeight="false" outlineLevel="0" collapsed="false">
      <c r="A169" s="43" t="s">
        <v>35</v>
      </c>
      <c r="B169" s="43" t="s">
        <v>29</v>
      </c>
      <c r="C169" s="43" t="s">
        <v>56</v>
      </c>
      <c r="D169" s="43" t="s">
        <v>55</v>
      </c>
      <c r="E169" s="44" t="n">
        <v>229</v>
      </c>
      <c r="F169" s="44" t="n">
        <v>999</v>
      </c>
      <c r="G169" s="45" t="n">
        <v>228771</v>
      </c>
      <c r="H169" s="45" t="n">
        <v>1863450</v>
      </c>
      <c r="I169" s="46" t="n">
        <v>0.122767447476455</v>
      </c>
      <c r="J169" s="45" t="n">
        <v>67987</v>
      </c>
      <c r="K169" s="45" t="n">
        <v>160784</v>
      </c>
    </row>
    <row r="170" customFormat="false" ht="15" hidden="false" customHeight="false" outlineLevel="0" collapsed="false">
      <c r="A170" s="39" t="s">
        <v>35</v>
      </c>
      <c r="B170" s="39" t="s">
        <v>31</v>
      </c>
      <c r="C170" s="39" t="s">
        <v>57</v>
      </c>
      <c r="D170" s="39" t="s">
        <v>52</v>
      </c>
      <c r="E170" s="40" t="n">
        <v>383</v>
      </c>
      <c r="F170" s="40" t="n">
        <v>500</v>
      </c>
      <c r="G170" s="41" t="n">
        <v>191500</v>
      </c>
      <c r="H170" s="41" t="n">
        <v>565074</v>
      </c>
      <c r="I170" s="42" t="n">
        <v>0.338893667024142</v>
      </c>
      <c r="J170" s="41" t="n">
        <v>114823</v>
      </c>
      <c r="K170" s="41" t="n">
        <v>76677</v>
      </c>
    </row>
    <row r="171" customFormat="false" ht="15" hidden="false" customHeight="false" outlineLevel="0" collapsed="false">
      <c r="A171" s="43" t="s">
        <v>35</v>
      </c>
      <c r="B171" s="43" t="s">
        <v>31</v>
      </c>
      <c r="C171" s="43" t="s">
        <v>57</v>
      </c>
      <c r="D171" s="43" t="s">
        <v>53</v>
      </c>
      <c r="E171" s="44" t="n">
        <v>152</v>
      </c>
      <c r="F171" s="44" t="n">
        <v>500</v>
      </c>
      <c r="G171" s="45" t="n">
        <v>76000</v>
      </c>
      <c r="H171" s="45" t="n">
        <v>1803035</v>
      </c>
      <c r="I171" s="46" t="n">
        <v>0.0421511506986831</v>
      </c>
      <c r="J171" s="45" t="n">
        <v>89946</v>
      </c>
      <c r="K171" s="45" t="n">
        <v>-13946</v>
      </c>
    </row>
    <row r="172" customFormat="false" ht="15" hidden="false" customHeight="false" outlineLevel="0" collapsed="false">
      <c r="A172" s="39" t="s">
        <v>35</v>
      </c>
      <c r="B172" s="39" t="s">
        <v>31</v>
      </c>
      <c r="C172" s="39" t="s">
        <v>57</v>
      </c>
      <c r="D172" s="39" t="s">
        <v>54</v>
      </c>
      <c r="E172" s="40" t="n">
        <v>172</v>
      </c>
      <c r="F172" s="40" t="n">
        <v>999</v>
      </c>
      <c r="G172" s="41" t="n">
        <v>171828</v>
      </c>
      <c r="H172" s="41" t="n">
        <v>1493129</v>
      </c>
      <c r="I172" s="42" t="n">
        <v>0.115079139176856</v>
      </c>
      <c r="J172" s="41" t="n">
        <v>79986</v>
      </c>
      <c r="K172" s="41" t="n">
        <v>91842</v>
      </c>
    </row>
    <row r="173" customFormat="false" ht="15" hidden="false" customHeight="false" outlineLevel="0" collapsed="false">
      <c r="A173" s="43" t="s">
        <v>35</v>
      </c>
      <c r="B173" s="43" t="s">
        <v>31</v>
      </c>
      <c r="C173" s="43" t="s">
        <v>57</v>
      </c>
      <c r="D173" s="43" t="s">
        <v>55</v>
      </c>
      <c r="E173" s="44" t="n">
        <v>338</v>
      </c>
      <c r="F173" s="44" t="n">
        <v>999</v>
      </c>
      <c r="G173" s="45" t="n">
        <v>337662</v>
      </c>
      <c r="H173" s="45" t="n">
        <v>1475246</v>
      </c>
      <c r="I173" s="46" t="n">
        <v>0.2288852164317</v>
      </c>
      <c r="J173" s="45" t="n">
        <v>117172</v>
      </c>
      <c r="K173" s="45" t="n">
        <v>220490</v>
      </c>
    </row>
    <row r="174" customFormat="false" ht="15" hidden="false" customHeight="false" outlineLevel="0" collapsed="false">
      <c r="A174" s="39" t="s">
        <v>35</v>
      </c>
      <c r="B174" s="39" t="s">
        <v>31</v>
      </c>
      <c r="C174" s="39" t="s">
        <v>58</v>
      </c>
      <c r="D174" s="39" t="s">
        <v>52</v>
      </c>
      <c r="E174" s="40" t="n">
        <v>238</v>
      </c>
      <c r="F174" s="40" t="n">
        <v>999</v>
      </c>
      <c r="G174" s="41" t="n">
        <v>237762</v>
      </c>
      <c r="H174" s="41" t="n">
        <v>1770649</v>
      </c>
      <c r="I174" s="42" t="n">
        <v>0.13427957771416</v>
      </c>
      <c r="J174" s="41" t="n">
        <v>80024</v>
      </c>
      <c r="K174" s="41" t="n">
        <v>157738</v>
      </c>
    </row>
    <row r="175" customFormat="false" ht="15" hidden="false" customHeight="false" outlineLevel="0" collapsed="false">
      <c r="A175" s="43" t="s">
        <v>35</v>
      </c>
      <c r="B175" s="43" t="s">
        <v>31</v>
      </c>
      <c r="C175" s="43" t="s">
        <v>58</v>
      </c>
      <c r="D175" s="43" t="s">
        <v>53</v>
      </c>
      <c r="E175" s="44" t="n">
        <v>133</v>
      </c>
      <c r="F175" s="44" t="n">
        <v>1499</v>
      </c>
      <c r="G175" s="45" t="n">
        <v>199367</v>
      </c>
      <c r="H175" s="45" t="n">
        <v>726699</v>
      </c>
      <c r="I175" s="46" t="n">
        <v>0.274346049739989</v>
      </c>
      <c r="J175" s="45" t="n">
        <v>56731</v>
      </c>
      <c r="K175" s="45" t="n">
        <v>142636</v>
      </c>
    </row>
    <row r="176" customFormat="false" ht="15" hidden="false" customHeight="false" outlineLevel="0" collapsed="false">
      <c r="A176" s="39" t="s">
        <v>35</v>
      </c>
      <c r="B176" s="39" t="s">
        <v>31</v>
      </c>
      <c r="C176" s="39" t="s">
        <v>58</v>
      </c>
      <c r="D176" s="39" t="s">
        <v>54</v>
      </c>
      <c r="E176" s="40" t="n">
        <v>209</v>
      </c>
      <c r="F176" s="40" t="n">
        <v>4999</v>
      </c>
      <c r="G176" s="41" t="n">
        <v>1044791</v>
      </c>
      <c r="H176" s="41" t="n">
        <v>1920500</v>
      </c>
      <c r="I176" s="42" t="n">
        <v>0.544020307211664</v>
      </c>
      <c r="J176" s="41" t="n">
        <v>148384</v>
      </c>
      <c r="K176" s="41" t="n">
        <v>896407</v>
      </c>
    </row>
    <row r="177" customFormat="false" ht="15" hidden="false" customHeight="false" outlineLevel="0" collapsed="false">
      <c r="A177" s="43" t="s">
        <v>35</v>
      </c>
      <c r="B177" s="43" t="s">
        <v>31</v>
      </c>
      <c r="C177" s="43" t="s">
        <v>58</v>
      </c>
      <c r="D177" s="43" t="s">
        <v>55</v>
      </c>
      <c r="E177" s="44" t="n">
        <v>253</v>
      </c>
      <c r="F177" s="44" t="n">
        <v>999</v>
      </c>
      <c r="G177" s="45" t="n">
        <v>252747</v>
      </c>
      <c r="H177" s="45" t="n">
        <v>659376</v>
      </c>
      <c r="I177" s="46" t="n">
        <v>0.383312404455121</v>
      </c>
      <c r="J177" s="45" t="n">
        <v>113661</v>
      </c>
      <c r="K177" s="45" t="n">
        <v>139086</v>
      </c>
    </row>
    <row r="178" customFormat="false" ht="15" hidden="false" customHeight="false" outlineLevel="0" collapsed="false">
      <c r="A178" s="39" t="s">
        <v>35</v>
      </c>
      <c r="B178" s="39" t="s">
        <v>27</v>
      </c>
      <c r="C178" s="39" t="s">
        <v>59</v>
      </c>
      <c r="D178" s="39" t="s">
        <v>52</v>
      </c>
      <c r="E178" s="40" t="n">
        <v>102</v>
      </c>
      <c r="F178" s="40" t="n">
        <v>1499</v>
      </c>
      <c r="G178" s="41" t="n">
        <v>152898</v>
      </c>
      <c r="H178" s="41" t="n">
        <v>1934995</v>
      </c>
      <c r="I178" s="42" t="n">
        <v>0.0790172584425283</v>
      </c>
      <c r="J178" s="41" t="n">
        <v>81733</v>
      </c>
      <c r="K178" s="41" t="n">
        <v>71165</v>
      </c>
    </row>
    <row r="179" customFormat="false" ht="15" hidden="false" customHeight="false" outlineLevel="0" collapsed="false">
      <c r="A179" s="43" t="s">
        <v>35</v>
      </c>
      <c r="B179" s="43" t="s">
        <v>27</v>
      </c>
      <c r="C179" s="43" t="s">
        <v>59</v>
      </c>
      <c r="D179" s="43" t="s">
        <v>53</v>
      </c>
      <c r="E179" s="44" t="n">
        <v>339</v>
      </c>
      <c r="F179" s="44" t="n">
        <v>500</v>
      </c>
      <c r="G179" s="45" t="n">
        <v>169500</v>
      </c>
      <c r="H179" s="45" t="n">
        <v>1228139</v>
      </c>
      <c r="I179" s="46" t="n">
        <v>0.138013693889698</v>
      </c>
      <c r="J179" s="45" t="n">
        <v>189655</v>
      </c>
      <c r="K179" s="45" t="n">
        <v>-20155</v>
      </c>
    </row>
    <row r="180" customFormat="false" ht="15" hidden="false" customHeight="false" outlineLevel="0" collapsed="false">
      <c r="A180" s="39" t="s">
        <v>35</v>
      </c>
      <c r="B180" s="39" t="s">
        <v>27</v>
      </c>
      <c r="C180" s="39" t="s">
        <v>59</v>
      </c>
      <c r="D180" s="39" t="s">
        <v>54</v>
      </c>
      <c r="E180" s="40" t="n">
        <v>269</v>
      </c>
      <c r="F180" s="40" t="n">
        <v>1499</v>
      </c>
      <c r="G180" s="41" t="n">
        <v>403231</v>
      </c>
      <c r="H180" s="41" t="n">
        <v>644612</v>
      </c>
      <c r="I180" s="42" t="n">
        <v>0.625540635296892</v>
      </c>
      <c r="J180" s="41" t="n">
        <v>182634</v>
      </c>
      <c r="K180" s="41" t="n">
        <v>220597</v>
      </c>
    </row>
    <row r="181" customFormat="false" ht="15" hidden="false" customHeight="false" outlineLevel="0" collapsed="false">
      <c r="A181" s="43" t="s">
        <v>35</v>
      </c>
      <c r="B181" s="43" t="s">
        <v>27</v>
      </c>
      <c r="C181" s="43" t="s">
        <v>59</v>
      </c>
      <c r="D181" s="43" t="s">
        <v>55</v>
      </c>
      <c r="E181" s="44" t="n">
        <v>381</v>
      </c>
      <c r="F181" s="44" t="n">
        <v>1499</v>
      </c>
      <c r="G181" s="45" t="n">
        <v>571119</v>
      </c>
      <c r="H181" s="45" t="n">
        <v>526533</v>
      </c>
      <c r="I181" s="46" t="n">
        <v>1.08467845320236</v>
      </c>
      <c r="J181" s="45" t="n">
        <v>160115</v>
      </c>
      <c r="K181" s="45" t="n">
        <v>411004</v>
      </c>
    </row>
    <row r="182" customFormat="false" ht="15" hidden="false" customHeight="false" outlineLevel="0" collapsed="false">
      <c r="A182" s="39" t="s">
        <v>35</v>
      </c>
      <c r="B182" s="39" t="s">
        <v>27</v>
      </c>
      <c r="C182" s="39" t="s">
        <v>60</v>
      </c>
      <c r="D182" s="39" t="s">
        <v>52</v>
      </c>
      <c r="E182" s="40" t="n">
        <v>300</v>
      </c>
      <c r="F182" s="40" t="n">
        <v>500</v>
      </c>
      <c r="G182" s="41" t="n">
        <v>150000</v>
      </c>
      <c r="H182" s="41" t="n">
        <v>1409164</v>
      </c>
      <c r="I182" s="42" t="n">
        <v>0.10644609144145</v>
      </c>
      <c r="J182" s="41" t="n">
        <v>144945</v>
      </c>
      <c r="K182" s="41" t="n">
        <v>5055</v>
      </c>
    </row>
    <row r="183" customFormat="false" ht="15" hidden="false" customHeight="false" outlineLevel="0" collapsed="false">
      <c r="A183" s="43" t="s">
        <v>35</v>
      </c>
      <c r="B183" s="43" t="s">
        <v>27</v>
      </c>
      <c r="C183" s="43" t="s">
        <v>60</v>
      </c>
      <c r="D183" s="43" t="s">
        <v>53</v>
      </c>
      <c r="E183" s="44" t="n">
        <v>375</v>
      </c>
      <c r="F183" s="44" t="n">
        <v>2499</v>
      </c>
      <c r="G183" s="45" t="n">
        <v>937125</v>
      </c>
      <c r="H183" s="45" t="n">
        <v>1983333</v>
      </c>
      <c r="I183" s="46" t="n">
        <v>0.472500079411778</v>
      </c>
      <c r="J183" s="45" t="n">
        <v>90105</v>
      </c>
      <c r="K183" s="45" t="n">
        <v>847020</v>
      </c>
    </row>
    <row r="184" customFormat="false" ht="15" hidden="false" customHeight="false" outlineLevel="0" collapsed="false">
      <c r="A184" s="39" t="s">
        <v>35</v>
      </c>
      <c r="B184" s="39" t="s">
        <v>27</v>
      </c>
      <c r="C184" s="39" t="s">
        <v>60</v>
      </c>
      <c r="D184" s="39" t="s">
        <v>54</v>
      </c>
      <c r="E184" s="40" t="n">
        <v>272</v>
      </c>
      <c r="F184" s="40" t="n">
        <v>999</v>
      </c>
      <c r="G184" s="41" t="n">
        <v>271728</v>
      </c>
      <c r="H184" s="41" t="n">
        <v>1594182</v>
      </c>
      <c r="I184" s="42" t="n">
        <v>0.170449798078262</v>
      </c>
      <c r="J184" s="41" t="n">
        <v>120800</v>
      </c>
      <c r="K184" s="41" t="n">
        <v>150928</v>
      </c>
    </row>
    <row r="185" customFormat="false" ht="15" hidden="false" customHeight="false" outlineLevel="0" collapsed="false">
      <c r="A185" s="43" t="s">
        <v>35</v>
      </c>
      <c r="B185" s="43" t="s">
        <v>27</v>
      </c>
      <c r="C185" s="43" t="s">
        <v>60</v>
      </c>
      <c r="D185" s="43" t="s">
        <v>55</v>
      </c>
      <c r="E185" s="44" t="n">
        <v>365</v>
      </c>
      <c r="F185" s="44" t="n">
        <v>4999</v>
      </c>
      <c r="G185" s="45" t="n">
        <v>1824635</v>
      </c>
      <c r="H185" s="45" t="n">
        <v>1513967</v>
      </c>
      <c r="I185" s="46" t="n">
        <v>1.20520130227409</v>
      </c>
      <c r="J185" s="45" t="n">
        <v>171863</v>
      </c>
      <c r="K185" s="45" t="n">
        <v>1652772</v>
      </c>
    </row>
    <row r="186" customFormat="false" ht="15" hidden="false" customHeight="false" outlineLevel="0" collapsed="false">
      <c r="A186" s="39" t="s">
        <v>35</v>
      </c>
      <c r="B186" s="39" t="s">
        <v>33</v>
      </c>
      <c r="C186" s="39" t="s">
        <v>61</v>
      </c>
      <c r="D186" s="39" t="s">
        <v>52</v>
      </c>
      <c r="E186" s="40" t="n">
        <v>273</v>
      </c>
      <c r="F186" s="40" t="n">
        <v>4999</v>
      </c>
      <c r="G186" s="41" t="n">
        <v>1364727</v>
      </c>
      <c r="H186" s="41" t="n">
        <v>1062866</v>
      </c>
      <c r="I186" s="42" t="n">
        <v>1.28400663865436</v>
      </c>
      <c r="J186" s="41" t="n">
        <v>134490</v>
      </c>
      <c r="K186" s="41" t="n">
        <v>1230237</v>
      </c>
    </row>
    <row r="187" customFormat="false" ht="15" hidden="false" customHeight="false" outlineLevel="0" collapsed="false">
      <c r="A187" s="43" t="s">
        <v>35</v>
      </c>
      <c r="B187" s="43" t="s">
        <v>33</v>
      </c>
      <c r="C187" s="43" t="s">
        <v>61</v>
      </c>
      <c r="D187" s="43" t="s">
        <v>53</v>
      </c>
      <c r="E187" s="44" t="n">
        <v>175</v>
      </c>
      <c r="F187" s="44" t="n">
        <v>500</v>
      </c>
      <c r="G187" s="45" t="n">
        <v>87500</v>
      </c>
      <c r="H187" s="45" t="n">
        <v>1084954</v>
      </c>
      <c r="I187" s="46" t="n">
        <v>0.0806485804928135</v>
      </c>
      <c r="J187" s="45" t="n">
        <v>168175</v>
      </c>
      <c r="K187" s="45" t="n">
        <v>-80675</v>
      </c>
    </row>
    <row r="188" customFormat="false" ht="15" hidden="false" customHeight="false" outlineLevel="0" collapsed="false">
      <c r="A188" s="39" t="s">
        <v>35</v>
      </c>
      <c r="B188" s="39" t="s">
        <v>33</v>
      </c>
      <c r="C188" s="39" t="s">
        <v>61</v>
      </c>
      <c r="D188" s="39" t="s">
        <v>54</v>
      </c>
      <c r="E188" s="40" t="n">
        <v>174</v>
      </c>
      <c r="F188" s="40" t="n">
        <v>2499</v>
      </c>
      <c r="G188" s="41" t="n">
        <v>434826</v>
      </c>
      <c r="H188" s="41" t="n">
        <v>1695061</v>
      </c>
      <c r="I188" s="42" t="n">
        <v>0.256525281391053</v>
      </c>
      <c r="J188" s="41" t="n">
        <v>149349</v>
      </c>
      <c r="K188" s="41" t="n">
        <v>285477</v>
      </c>
    </row>
    <row r="189" customFormat="false" ht="15" hidden="false" customHeight="false" outlineLevel="0" collapsed="false">
      <c r="A189" s="43" t="s">
        <v>35</v>
      </c>
      <c r="B189" s="43" t="s">
        <v>33</v>
      </c>
      <c r="C189" s="43" t="s">
        <v>61</v>
      </c>
      <c r="D189" s="43" t="s">
        <v>55</v>
      </c>
      <c r="E189" s="44" t="n">
        <v>222</v>
      </c>
      <c r="F189" s="44" t="n">
        <v>500</v>
      </c>
      <c r="G189" s="45" t="n">
        <v>111000</v>
      </c>
      <c r="H189" s="45" t="n">
        <v>1536635</v>
      </c>
      <c r="I189" s="46" t="n">
        <v>0.0722357619083257</v>
      </c>
      <c r="J189" s="45" t="n">
        <v>135200</v>
      </c>
      <c r="K189" s="45" t="n">
        <v>-24200</v>
      </c>
    </row>
    <row r="190" customFormat="false" ht="15" hidden="false" customHeight="false" outlineLevel="0" collapsed="false">
      <c r="A190" s="39" t="s">
        <v>35</v>
      </c>
      <c r="B190" s="39" t="s">
        <v>33</v>
      </c>
      <c r="C190" s="39" t="s">
        <v>62</v>
      </c>
      <c r="D190" s="39" t="s">
        <v>52</v>
      </c>
      <c r="E190" s="40" t="n">
        <v>143</v>
      </c>
      <c r="F190" s="40" t="n">
        <v>2499</v>
      </c>
      <c r="G190" s="41" t="n">
        <v>357357</v>
      </c>
      <c r="H190" s="41" t="n">
        <v>944847</v>
      </c>
      <c r="I190" s="42" t="n">
        <v>0.378216790654995</v>
      </c>
      <c r="J190" s="41" t="n">
        <v>143015</v>
      </c>
      <c r="K190" s="41" t="n">
        <v>214342</v>
      </c>
    </row>
    <row r="191" customFormat="false" ht="15" hidden="false" customHeight="false" outlineLevel="0" collapsed="false">
      <c r="A191" s="43" t="s">
        <v>35</v>
      </c>
      <c r="B191" s="43" t="s">
        <v>33</v>
      </c>
      <c r="C191" s="43" t="s">
        <v>62</v>
      </c>
      <c r="D191" s="43" t="s">
        <v>53</v>
      </c>
      <c r="E191" s="44" t="n">
        <v>182</v>
      </c>
      <c r="F191" s="44" t="n">
        <v>1499</v>
      </c>
      <c r="G191" s="45" t="n">
        <v>272818</v>
      </c>
      <c r="H191" s="45" t="n">
        <v>1086486</v>
      </c>
      <c r="I191" s="46" t="n">
        <v>0.251101256712006</v>
      </c>
      <c r="J191" s="45" t="n">
        <v>122422</v>
      </c>
      <c r="K191" s="45" t="n">
        <v>150396</v>
      </c>
    </row>
    <row r="192" customFormat="false" ht="15" hidden="false" customHeight="false" outlineLevel="0" collapsed="false">
      <c r="A192" s="39" t="s">
        <v>35</v>
      </c>
      <c r="B192" s="39" t="s">
        <v>33</v>
      </c>
      <c r="C192" s="39" t="s">
        <v>62</v>
      </c>
      <c r="D192" s="39" t="s">
        <v>54</v>
      </c>
      <c r="E192" s="40" t="n">
        <v>334</v>
      </c>
      <c r="F192" s="40" t="n">
        <v>500</v>
      </c>
      <c r="G192" s="41" t="n">
        <v>167000</v>
      </c>
      <c r="H192" s="41" t="n">
        <v>1583445</v>
      </c>
      <c r="I192" s="42" t="n">
        <v>0.105466246064751</v>
      </c>
      <c r="J192" s="41" t="n">
        <v>100084</v>
      </c>
      <c r="K192" s="41" t="n">
        <v>66916</v>
      </c>
    </row>
    <row r="193" customFormat="false" ht="15" hidden="false" customHeight="false" outlineLevel="0" collapsed="false">
      <c r="A193" s="43" t="s">
        <v>35</v>
      </c>
      <c r="B193" s="43" t="s">
        <v>33</v>
      </c>
      <c r="C193" s="43" t="s">
        <v>62</v>
      </c>
      <c r="D193" s="43" t="s">
        <v>55</v>
      </c>
      <c r="E193" s="44" t="n">
        <v>93</v>
      </c>
      <c r="F193" s="44" t="n">
        <v>999</v>
      </c>
      <c r="G193" s="45" t="n">
        <v>92907</v>
      </c>
      <c r="H193" s="45" t="n">
        <v>1352341</v>
      </c>
      <c r="I193" s="46" t="n">
        <v>0.068700867606617</v>
      </c>
      <c r="J193" s="45" t="n">
        <v>178077</v>
      </c>
      <c r="K193" s="45" t="n">
        <v>-85170</v>
      </c>
    </row>
    <row r="194" customFormat="false" ht="15" hidden="false" customHeight="false" outlineLevel="0" collapsed="false">
      <c r="A194" s="39" t="s">
        <v>36</v>
      </c>
      <c r="B194" s="39" t="s">
        <v>29</v>
      </c>
      <c r="C194" s="39" t="s">
        <v>51</v>
      </c>
      <c r="D194" s="39" t="s">
        <v>52</v>
      </c>
      <c r="E194" s="40" t="n">
        <v>334</v>
      </c>
      <c r="F194" s="40" t="n">
        <v>999</v>
      </c>
      <c r="G194" s="41" t="n">
        <v>333666</v>
      </c>
      <c r="H194" s="41" t="n">
        <v>1948312</v>
      </c>
      <c r="I194" s="42" t="n">
        <v>0.171259018062815</v>
      </c>
      <c r="J194" s="41" t="n">
        <v>174804</v>
      </c>
      <c r="K194" s="41" t="n">
        <v>158862</v>
      </c>
    </row>
    <row r="195" customFormat="false" ht="15" hidden="false" customHeight="false" outlineLevel="0" collapsed="false">
      <c r="A195" s="43" t="s">
        <v>36</v>
      </c>
      <c r="B195" s="43" t="s">
        <v>29</v>
      </c>
      <c r="C195" s="43" t="s">
        <v>51</v>
      </c>
      <c r="D195" s="43" t="s">
        <v>53</v>
      </c>
      <c r="E195" s="44" t="n">
        <v>380</v>
      </c>
      <c r="F195" s="44" t="n">
        <v>2499</v>
      </c>
      <c r="G195" s="45" t="n">
        <v>949620</v>
      </c>
      <c r="H195" s="45" t="n">
        <v>1439890</v>
      </c>
      <c r="I195" s="46" t="n">
        <v>0.659508712471092</v>
      </c>
      <c r="J195" s="45" t="n">
        <v>54520</v>
      </c>
      <c r="K195" s="45" t="n">
        <v>895100</v>
      </c>
    </row>
    <row r="196" customFormat="false" ht="15" hidden="false" customHeight="false" outlineLevel="0" collapsed="false">
      <c r="A196" s="39" t="s">
        <v>36</v>
      </c>
      <c r="B196" s="39" t="s">
        <v>29</v>
      </c>
      <c r="C196" s="39" t="s">
        <v>51</v>
      </c>
      <c r="D196" s="39" t="s">
        <v>54</v>
      </c>
      <c r="E196" s="40" t="n">
        <v>97</v>
      </c>
      <c r="F196" s="40" t="n">
        <v>1499</v>
      </c>
      <c r="G196" s="41" t="n">
        <v>145403</v>
      </c>
      <c r="H196" s="41" t="n">
        <v>964721</v>
      </c>
      <c r="I196" s="42" t="n">
        <v>0.150720260054461</v>
      </c>
      <c r="J196" s="41" t="n">
        <v>156011</v>
      </c>
      <c r="K196" s="41" t="n">
        <v>-10608</v>
      </c>
    </row>
    <row r="197" customFormat="false" ht="15" hidden="false" customHeight="false" outlineLevel="0" collapsed="false">
      <c r="A197" s="43" t="s">
        <v>36</v>
      </c>
      <c r="B197" s="43" t="s">
        <v>29</v>
      </c>
      <c r="C197" s="43" t="s">
        <v>51</v>
      </c>
      <c r="D197" s="43" t="s">
        <v>55</v>
      </c>
      <c r="E197" s="44" t="n">
        <v>174</v>
      </c>
      <c r="F197" s="44" t="n">
        <v>1499</v>
      </c>
      <c r="G197" s="45" t="n">
        <v>260826</v>
      </c>
      <c r="H197" s="45" t="n">
        <v>1892425</v>
      </c>
      <c r="I197" s="46" t="n">
        <v>0.137826333936616</v>
      </c>
      <c r="J197" s="45" t="n">
        <v>146736</v>
      </c>
      <c r="K197" s="45" t="n">
        <v>114090</v>
      </c>
    </row>
    <row r="198" customFormat="false" ht="15" hidden="false" customHeight="false" outlineLevel="0" collapsed="false">
      <c r="A198" s="39" t="s">
        <v>36</v>
      </c>
      <c r="B198" s="39" t="s">
        <v>29</v>
      </c>
      <c r="C198" s="39" t="s">
        <v>56</v>
      </c>
      <c r="D198" s="39" t="s">
        <v>52</v>
      </c>
      <c r="E198" s="40" t="n">
        <v>292</v>
      </c>
      <c r="F198" s="40" t="n">
        <v>4999</v>
      </c>
      <c r="G198" s="41" t="n">
        <v>1459708</v>
      </c>
      <c r="H198" s="41" t="n">
        <v>1613423</v>
      </c>
      <c r="I198" s="42" t="n">
        <v>0.904727402547255</v>
      </c>
      <c r="J198" s="41" t="n">
        <v>140113</v>
      </c>
      <c r="K198" s="41" t="n">
        <v>1319595</v>
      </c>
    </row>
    <row r="199" customFormat="false" ht="15" hidden="false" customHeight="false" outlineLevel="0" collapsed="false">
      <c r="A199" s="43" t="s">
        <v>36</v>
      </c>
      <c r="B199" s="43" t="s">
        <v>29</v>
      </c>
      <c r="C199" s="43" t="s">
        <v>56</v>
      </c>
      <c r="D199" s="43" t="s">
        <v>53</v>
      </c>
      <c r="E199" s="44" t="n">
        <v>267</v>
      </c>
      <c r="F199" s="44" t="n">
        <v>4999</v>
      </c>
      <c r="G199" s="45" t="n">
        <v>1334733</v>
      </c>
      <c r="H199" s="45" t="n">
        <v>1193719</v>
      </c>
      <c r="I199" s="46" t="n">
        <v>1.11812997866332</v>
      </c>
      <c r="J199" s="45" t="n">
        <v>142225</v>
      </c>
      <c r="K199" s="45" t="n">
        <v>1192508</v>
      </c>
    </row>
    <row r="200" customFormat="false" ht="15" hidden="false" customHeight="false" outlineLevel="0" collapsed="false">
      <c r="A200" s="39" t="s">
        <v>36</v>
      </c>
      <c r="B200" s="39" t="s">
        <v>29</v>
      </c>
      <c r="C200" s="39" t="s">
        <v>56</v>
      </c>
      <c r="D200" s="39" t="s">
        <v>54</v>
      </c>
      <c r="E200" s="40" t="n">
        <v>282</v>
      </c>
      <c r="F200" s="40" t="n">
        <v>1499</v>
      </c>
      <c r="G200" s="41" t="n">
        <v>422718</v>
      </c>
      <c r="H200" s="41" t="n">
        <v>1143035</v>
      </c>
      <c r="I200" s="42" t="n">
        <v>0.369820696654083</v>
      </c>
      <c r="J200" s="41" t="n">
        <v>115903</v>
      </c>
      <c r="K200" s="41" t="n">
        <v>306815</v>
      </c>
    </row>
    <row r="201" customFormat="false" ht="15" hidden="false" customHeight="false" outlineLevel="0" collapsed="false">
      <c r="A201" s="43" t="s">
        <v>36</v>
      </c>
      <c r="B201" s="43" t="s">
        <v>29</v>
      </c>
      <c r="C201" s="43" t="s">
        <v>56</v>
      </c>
      <c r="D201" s="43" t="s">
        <v>55</v>
      </c>
      <c r="E201" s="44" t="n">
        <v>168</v>
      </c>
      <c r="F201" s="44" t="n">
        <v>500</v>
      </c>
      <c r="G201" s="45" t="n">
        <v>84000</v>
      </c>
      <c r="H201" s="45" t="n">
        <v>903878</v>
      </c>
      <c r="I201" s="46" t="n">
        <v>0.0929328958111604</v>
      </c>
      <c r="J201" s="45" t="n">
        <v>132719</v>
      </c>
      <c r="K201" s="45" t="n">
        <v>-48719</v>
      </c>
    </row>
    <row r="202" customFormat="false" ht="15" hidden="false" customHeight="false" outlineLevel="0" collapsed="false">
      <c r="A202" s="39" t="s">
        <v>36</v>
      </c>
      <c r="B202" s="39" t="s">
        <v>31</v>
      </c>
      <c r="C202" s="39" t="s">
        <v>57</v>
      </c>
      <c r="D202" s="39" t="s">
        <v>52</v>
      </c>
      <c r="E202" s="40" t="n">
        <v>111</v>
      </c>
      <c r="F202" s="40" t="n">
        <v>4999</v>
      </c>
      <c r="G202" s="41" t="n">
        <v>554889</v>
      </c>
      <c r="H202" s="41" t="n">
        <v>1947377</v>
      </c>
      <c r="I202" s="42" t="n">
        <v>0.284941744716098</v>
      </c>
      <c r="J202" s="41" t="n">
        <v>98535</v>
      </c>
      <c r="K202" s="41" t="n">
        <v>456354</v>
      </c>
    </row>
    <row r="203" customFormat="false" ht="15" hidden="false" customHeight="false" outlineLevel="0" collapsed="false">
      <c r="A203" s="43" t="s">
        <v>36</v>
      </c>
      <c r="B203" s="43" t="s">
        <v>31</v>
      </c>
      <c r="C203" s="43" t="s">
        <v>57</v>
      </c>
      <c r="D203" s="43" t="s">
        <v>53</v>
      </c>
      <c r="E203" s="44" t="n">
        <v>148</v>
      </c>
      <c r="F203" s="44" t="n">
        <v>999</v>
      </c>
      <c r="G203" s="45" t="n">
        <v>147852</v>
      </c>
      <c r="H203" s="45" t="n">
        <v>1515438</v>
      </c>
      <c r="I203" s="46" t="n">
        <v>0.0975638726229645</v>
      </c>
      <c r="J203" s="45" t="n">
        <v>122482</v>
      </c>
      <c r="K203" s="45" t="n">
        <v>25370</v>
      </c>
    </row>
    <row r="204" customFormat="false" ht="15" hidden="false" customHeight="false" outlineLevel="0" collapsed="false">
      <c r="A204" s="39" t="s">
        <v>36</v>
      </c>
      <c r="B204" s="39" t="s">
        <v>31</v>
      </c>
      <c r="C204" s="39" t="s">
        <v>57</v>
      </c>
      <c r="D204" s="39" t="s">
        <v>54</v>
      </c>
      <c r="E204" s="40" t="n">
        <v>351</v>
      </c>
      <c r="F204" s="40" t="n">
        <v>4999</v>
      </c>
      <c r="G204" s="41" t="n">
        <v>1754649</v>
      </c>
      <c r="H204" s="41" t="n">
        <v>1751560</v>
      </c>
      <c r="I204" s="42" t="n">
        <v>1.00176357075978</v>
      </c>
      <c r="J204" s="41" t="n">
        <v>124186</v>
      </c>
      <c r="K204" s="41" t="n">
        <v>1630463</v>
      </c>
    </row>
    <row r="205" customFormat="false" ht="15" hidden="false" customHeight="false" outlineLevel="0" collapsed="false">
      <c r="A205" s="43" t="s">
        <v>36</v>
      </c>
      <c r="B205" s="43" t="s">
        <v>31</v>
      </c>
      <c r="C205" s="43" t="s">
        <v>57</v>
      </c>
      <c r="D205" s="43" t="s">
        <v>55</v>
      </c>
      <c r="E205" s="44" t="n">
        <v>101</v>
      </c>
      <c r="F205" s="44" t="n">
        <v>999</v>
      </c>
      <c r="G205" s="45" t="n">
        <v>100899</v>
      </c>
      <c r="H205" s="45" t="n">
        <v>1121273</v>
      </c>
      <c r="I205" s="46" t="n">
        <v>0.0899861139972157</v>
      </c>
      <c r="J205" s="45" t="n">
        <v>109633</v>
      </c>
      <c r="K205" s="45" t="n">
        <v>-8734</v>
      </c>
    </row>
    <row r="206" customFormat="false" ht="15" hidden="false" customHeight="false" outlineLevel="0" collapsed="false">
      <c r="A206" s="39" t="s">
        <v>36</v>
      </c>
      <c r="B206" s="39" t="s">
        <v>31</v>
      </c>
      <c r="C206" s="39" t="s">
        <v>58</v>
      </c>
      <c r="D206" s="39" t="s">
        <v>52</v>
      </c>
      <c r="E206" s="40" t="n">
        <v>234</v>
      </c>
      <c r="F206" s="40" t="n">
        <v>999</v>
      </c>
      <c r="G206" s="41" t="n">
        <v>233766</v>
      </c>
      <c r="H206" s="41" t="n">
        <v>1133901</v>
      </c>
      <c r="I206" s="42" t="n">
        <v>0.206160855312765</v>
      </c>
      <c r="J206" s="41" t="n">
        <v>53708</v>
      </c>
      <c r="K206" s="41" t="n">
        <v>180058</v>
      </c>
    </row>
    <row r="207" customFormat="false" ht="15" hidden="false" customHeight="false" outlineLevel="0" collapsed="false">
      <c r="A207" s="43" t="s">
        <v>36</v>
      </c>
      <c r="B207" s="43" t="s">
        <v>31</v>
      </c>
      <c r="C207" s="43" t="s">
        <v>58</v>
      </c>
      <c r="D207" s="43" t="s">
        <v>53</v>
      </c>
      <c r="E207" s="44" t="n">
        <v>323</v>
      </c>
      <c r="F207" s="44" t="n">
        <v>999</v>
      </c>
      <c r="G207" s="45" t="n">
        <v>322677</v>
      </c>
      <c r="H207" s="45" t="n">
        <v>1075272</v>
      </c>
      <c r="I207" s="46" t="n">
        <v>0.300088721737384</v>
      </c>
      <c r="J207" s="45" t="n">
        <v>61931</v>
      </c>
      <c r="K207" s="45" t="n">
        <v>260746</v>
      </c>
    </row>
    <row r="208" customFormat="false" ht="15" hidden="false" customHeight="false" outlineLevel="0" collapsed="false">
      <c r="A208" s="39" t="s">
        <v>36</v>
      </c>
      <c r="B208" s="39" t="s">
        <v>31</v>
      </c>
      <c r="C208" s="39" t="s">
        <v>58</v>
      </c>
      <c r="D208" s="39" t="s">
        <v>54</v>
      </c>
      <c r="E208" s="40" t="n">
        <v>77</v>
      </c>
      <c r="F208" s="40" t="n">
        <v>4999</v>
      </c>
      <c r="G208" s="41" t="n">
        <v>384923</v>
      </c>
      <c r="H208" s="41" t="n">
        <v>1112654</v>
      </c>
      <c r="I208" s="42" t="n">
        <v>0.34595031339482</v>
      </c>
      <c r="J208" s="41" t="n">
        <v>83103</v>
      </c>
      <c r="K208" s="41" t="n">
        <v>301820</v>
      </c>
    </row>
    <row r="209" customFormat="false" ht="15" hidden="false" customHeight="false" outlineLevel="0" collapsed="false">
      <c r="A209" s="43" t="s">
        <v>36</v>
      </c>
      <c r="B209" s="43" t="s">
        <v>31</v>
      </c>
      <c r="C209" s="43" t="s">
        <v>58</v>
      </c>
      <c r="D209" s="43" t="s">
        <v>55</v>
      </c>
      <c r="E209" s="44" t="n">
        <v>376</v>
      </c>
      <c r="F209" s="44" t="n">
        <v>2499</v>
      </c>
      <c r="G209" s="45" t="n">
        <v>939624</v>
      </c>
      <c r="H209" s="45" t="n">
        <v>715141</v>
      </c>
      <c r="I209" s="46" t="n">
        <v>1.31390033573799</v>
      </c>
      <c r="J209" s="45" t="n">
        <v>53215</v>
      </c>
      <c r="K209" s="45" t="n">
        <v>886409</v>
      </c>
    </row>
    <row r="210" customFormat="false" ht="15" hidden="false" customHeight="false" outlineLevel="0" collapsed="false">
      <c r="A210" s="39" t="s">
        <v>36</v>
      </c>
      <c r="B210" s="39" t="s">
        <v>27</v>
      </c>
      <c r="C210" s="39" t="s">
        <v>59</v>
      </c>
      <c r="D210" s="39" t="s">
        <v>52</v>
      </c>
      <c r="E210" s="40" t="n">
        <v>343</v>
      </c>
      <c r="F210" s="40" t="n">
        <v>1499</v>
      </c>
      <c r="G210" s="41" t="n">
        <v>514157</v>
      </c>
      <c r="H210" s="41" t="n">
        <v>1484396</v>
      </c>
      <c r="I210" s="42" t="n">
        <v>0.346374552343175</v>
      </c>
      <c r="J210" s="41" t="n">
        <v>175492</v>
      </c>
      <c r="K210" s="41" t="n">
        <v>338665</v>
      </c>
    </row>
    <row r="211" customFormat="false" ht="15" hidden="false" customHeight="false" outlineLevel="0" collapsed="false">
      <c r="A211" s="43" t="s">
        <v>36</v>
      </c>
      <c r="B211" s="43" t="s">
        <v>27</v>
      </c>
      <c r="C211" s="43" t="s">
        <v>59</v>
      </c>
      <c r="D211" s="43" t="s">
        <v>53</v>
      </c>
      <c r="E211" s="44" t="n">
        <v>275</v>
      </c>
      <c r="F211" s="44" t="n">
        <v>1499</v>
      </c>
      <c r="G211" s="45" t="n">
        <v>412225</v>
      </c>
      <c r="H211" s="45" t="n">
        <v>886638</v>
      </c>
      <c r="I211" s="46" t="n">
        <v>0.464930445119654</v>
      </c>
      <c r="J211" s="45" t="n">
        <v>63468</v>
      </c>
      <c r="K211" s="45" t="n">
        <v>348757</v>
      </c>
    </row>
    <row r="212" customFormat="false" ht="15" hidden="false" customHeight="false" outlineLevel="0" collapsed="false">
      <c r="A212" s="39" t="s">
        <v>36</v>
      </c>
      <c r="B212" s="39" t="s">
        <v>27</v>
      </c>
      <c r="C212" s="39" t="s">
        <v>59</v>
      </c>
      <c r="D212" s="39" t="s">
        <v>54</v>
      </c>
      <c r="E212" s="40" t="n">
        <v>179</v>
      </c>
      <c r="F212" s="40" t="n">
        <v>2499</v>
      </c>
      <c r="G212" s="41" t="n">
        <v>447321</v>
      </c>
      <c r="H212" s="41" t="n">
        <v>739258</v>
      </c>
      <c r="I212" s="42" t="n">
        <v>0.605094567796358</v>
      </c>
      <c r="J212" s="41" t="n">
        <v>67129</v>
      </c>
      <c r="K212" s="41" t="n">
        <v>380192</v>
      </c>
    </row>
    <row r="213" customFormat="false" ht="15" hidden="false" customHeight="false" outlineLevel="0" collapsed="false">
      <c r="A213" s="43" t="s">
        <v>36</v>
      </c>
      <c r="B213" s="43" t="s">
        <v>27</v>
      </c>
      <c r="C213" s="43" t="s">
        <v>59</v>
      </c>
      <c r="D213" s="43" t="s">
        <v>55</v>
      </c>
      <c r="E213" s="44" t="n">
        <v>255</v>
      </c>
      <c r="F213" s="44" t="n">
        <v>2499</v>
      </c>
      <c r="G213" s="45" t="n">
        <v>637245</v>
      </c>
      <c r="H213" s="45" t="n">
        <v>655361</v>
      </c>
      <c r="I213" s="46" t="n">
        <v>0.97235721991391</v>
      </c>
      <c r="J213" s="45" t="n">
        <v>64053</v>
      </c>
      <c r="K213" s="45" t="n">
        <v>573192</v>
      </c>
    </row>
    <row r="214" customFormat="false" ht="15" hidden="false" customHeight="false" outlineLevel="0" collapsed="false">
      <c r="A214" s="39" t="s">
        <v>36</v>
      </c>
      <c r="B214" s="39" t="s">
        <v>27</v>
      </c>
      <c r="C214" s="39" t="s">
        <v>60</v>
      </c>
      <c r="D214" s="39" t="s">
        <v>52</v>
      </c>
      <c r="E214" s="40" t="n">
        <v>127</v>
      </c>
      <c r="F214" s="40" t="n">
        <v>999</v>
      </c>
      <c r="G214" s="41" t="n">
        <v>126873</v>
      </c>
      <c r="H214" s="41" t="n">
        <v>1680360</v>
      </c>
      <c r="I214" s="42" t="n">
        <v>0.0755034635435264</v>
      </c>
      <c r="J214" s="41" t="n">
        <v>129648</v>
      </c>
      <c r="K214" s="41" t="n">
        <v>-2775</v>
      </c>
    </row>
    <row r="215" customFormat="false" ht="15" hidden="false" customHeight="false" outlineLevel="0" collapsed="false">
      <c r="A215" s="43" t="s">
        <v>36</v>
      </c>
      <c r="B215" s="43" t="s">
        <v>27</v>
      </c>
      <c r="C215" s="43" t="s">
        <v>60</v>
      </c>
      <c r="D215" s="43" t="s">
        <v>53</v>
      </c>
      <c r="E215" s="44" t="n">
        <v>93</v>
      </c>
      <c r="F215" s="44" t="n">
        <v>999</v>
      </c>
      <c r="G215" s="45" t="n">
        <v>92907</v>
      </c>
      <c r="H215" s="45" t="n">
        <v>748410</v>
      </c>
      <c r="I215" s="46" t="n">
        <v>0.124139175051108</v>
      </c>
      <c r="J215" s="45" t="n">
        <v>196295</v>
      </c>
      <c r="K215" s="45" t="n">
        <v>-103388</v>
      </c>
    </row>
    <row r="216" customFormat="false" ht="15" hidden="false" customHeight="false" outlineLevel="0" collapsed="false">
      <c r="A216" s="39" t="s">
        <v>36</v>
      </c>
      <c r="B216" s="39" t="s">
        <v>27</v>
      </c>
      <c r="C216" s="39" t="s">
        <v>60</v>
      </c>
      <c r="D216" s="39" t="s">
        <v>54</v>
      </c>
      <c r="E216" s="40" t="n">
        <v>263</v>
      </c>
      <c r="F216" s="40" t="n">
        <v>4999</v>
      </c>
      <c r="G216" s="41" t="n">
        <v>1314737</v>
      </c>
      <c r="H216" s="41" t="n">
        <v>1750168</v>
      </c>
      <c r="I216" s="42" t="n">
        <v>0.751206169921973</v>
      </c>
      <c r="J216" s="41" t="n">
        <v>109162</v>
      </c>
      <c r="K216" s="41" t="n">
        <v>1205575</v>
      </c>
    </row>
    <row r="217" customFormat="false" ht="15" hidden="false" customHeight="false" outlineLevel="0" collapsed="false">
      <c r="A217" s="43" t="s">
        <v>36</v>
      </c>
      <c r="B217" s="43" t="s">
        <v>27</v>
      </c>
      <c r="C217" s="43" t="s">
        <v>60</v>
      </c>
      <c r="D217" s="43" t="s">
        <v>55</v>
      </c>
      <c r="E217" s="44" t="n">
        <v>317</v>
      </c>
      <c r="F217" s="44" t="n">
        <v>2499</v>
      </c>
      <c r="G217" s="45" t="n">
        <v>792183</v>
      </c>
      <c r="H217" s="45" t="n">
        <v>1444797</v>
      </c>
      <c r="I217" s="46" t="n">
        <v>0.548300557102486</v>
      </c>
      <c r="J217" s="45" t="n">
        <v>166056</v>
      </c>
      <c r="K217" s="45" t="n">
        <v>626127</v>
      </c>
    </row>
    <row r="218" customFormat="false" ht="15" hidden="false" customHeight="false" outlineLevel="0" collapsed="false">
      <c r="A218" s="39" t="s">
        <v>36</v>
      </c>
      <c r="B218" s="39" t="s">
        <v>33</v>
      </c>
      <c r="C218" s="39" t="s">
        <v>61</v>
      </c>
      <c r="D218" s="39" t="s">
        <v>52</v>
      </c>
      <c r="E218" s="40" t="n">
        <v>202</v>
      </c>
      <c r="F218" s="40" t="n">
        <v>4999</v>
      </c>
      <c r="G218" s="41" t="n">
        <v>1009798</v>
      </c>
      <c r="H218" s="41" t="n">
        <v>1399321</v>
      </c>
      <c r="I218" s="42" t="n">
        <v>0.72163427833928</v>
      </c>
      <c r="J218" s="41" t="n">
        <v>130053</v>
      </c>
      <c r="K218" s="41" t="n">
        <v>879745</v>
      </c>
    </row>
    <row r="219" customFormat="false" ht="15" hidden="false" customHeight="false" outlineLevel="0" collapsed="false">
      <c r="A219" s="43" t="s">
        <v>36</v>
      </c>
      <c r="B219" s="43" t="s">
        <v>33</v>
      </c>
      <c r="C219" s="43" t="s">
        <v>61</v>
      </c>
      <c r="D219" s="43" t="s">
        <v>53</v>
      </c>
      <c r="E219" s="44" t="n">
        <v>341</v>
      </c>
      <c r="F219" s="44" t="n">
        <v>4999</v>
      </c>
      <c r="G219" s="45" t="n">
        <v>1704659</v>
      </c>
      <c r="H219" s="45" t="n">
        <v>626312</v>
      </c>
      <c r="I219" s="46" t="n">
        <v>2.72174092145768</v>
      </c>
      <c r="J219" s="45" t="n">
        <v>76013</v>
      </c>
      <c r="K219" s="45" t="n">
        <v>1628646</v>
      </c>
    </row>
    <row r="220" customFormat="false" ht="15" hidden="false" customHeight="false" outlineLevel="0" collapsed="false">
      <c r="A220" s="39" t="s">
        <v>36</v>
      </c>
      <c r="B220" s="39" t="s">
        <v>33</v>
      </c>
      <c r="C220" s="39" t="s">
        <v>61</v>
      </c>
      <c r="D220" s="39" t="s">
        <v>54</v>
      </c>
      <c r="E220" s="40" t="n">
        <v>156</v>
      </c>
      <c r="F220" s="40" t="n">
        <v>999</v>
      </c>
      <c r="G220" s="41" t="n">
        <v>155844</v>
      </c>
      <c r="H220" s="41" t="n">
        <v>1055003</v>
      </c>
      <c r="I220" s="42" t="n">
        <v>0.147719011225561</v>
      </c>
      <c r="J220" s="41" t="n">
        <v>71282</v>
      </c>
      <c r="K220" s="41" t="n">
        <v>84562</v>
      </c>
    </row>
    <row r="221" customFormat="false" ht="15" hidden="false" customHeight="false" outlineLevel="0" collapsed="false">
      <c r="A221" s="43" t="s">
        <v>36</v>
      </c>
      <c r="B221" s="43" t="s">
        <v>33</v>
      </c>
      <c r="C221" s="43" t="s">
        <v>61</v>
      </c>
      <c r="D221" s="43" t="s">
        <v>55</v>
      </c>
      <c r="E221" s="44" t="n">
        <v>130</v>
      </c>
      <c r="F221" s="44" t="n">
        <v>999</v>
      </c>
      <c r="G221" s="45" t="n">
        <v>129870</v>
      </c>
      <c r="H221" s="45" t="n">
        <v>864513</v>
      </c>
      <c r="I221" s="46" t="n">
        <v>0.150223304912708</v>
      </c>
      <c r="J221" s="45" t="n">
        <v>194701</v>
      </c>
      <c r="K221" s="45" t="n">
        <v>-64831</v>
      </c>
    </row>
    <row r="222" customFormat="false" ht="15" hidden="false" customHeight="false" outlineLevel="0" collapsed="false">
      <c r="A222" s="39" t="s">
        <v>36</v>
      </c>
      <c r="B222" s="39" t="s">
        <v>33</v>
      </c>
      <c r="C222" s="39" t="s">
        <v>62</v>
      </c>
      <c r="D222" s="39" t="s">
        <v>52</v>
      </c>
      <c r="E222" s="40" t="n">
        <v>88</v>
      </c>
      <c r="F222" s="40" t="n">
        <v>999</v>
      </c>
      <c r="G222" s="41" t="n">
        <v>87912</v>
      </c>
      <c r="H222" s="41" t="n">
        <v>505611</v>
      </c>
      <c r="I222" s="42" t="n">
        <v>0.173872799444632</v>
      </c>
      <c r="J222" s="41" t="n">
        <v>157090</v>
      </c>
      <c r="K222" s="41" t="n">
        <v>-69178</v>
      </c>
    </row>
    <row r="223" customFormat="false" ht="15" hidden="false" customHeight="false" outlineLevel="0" collapsed="false">
      <c r="A223" s="43" t="s">
        <v>36</v>
      </c>
      <c r="B223" s="43" t="s">
        <v>33</v>
      </c>
      <c r="C223" s="43" t="s">
        <v>62</v>
      </c>
      <c r="D223" s="43" t="s">
        <v>53</v>
      </c>
      <c r="E223" s="44" t="n">
        <v>280</v>
      </c>
      <c r="F223" s="44" t="n">
        <v>4999</v>
      </c>
      <c r="G223" s="45" t="n">
        <v>1399720</v>
      </c>
      <c r="H223" s="45" t="n">
        <v>1485477</v>
      </c>
      <c r="I223" s="46" t="n">
        <v>0.942269722116196</v>
      </c>
      <c r="J223" s="45" t="n">
        <v>126351</v>
      </c>
      <c r="K223" s="45" t="n">
        <v>1273369</v>
      </c>
    </row>
    <row r="224" customFormat="false" ht="15" hidden="false" customHeight="false" outlineLevel="0" collapsed="false">
      <c r="A224" s="39" t="s">
        <v>36</v>
      </c>
      <c r="B224" s="39" t="s">
        <v>33</v>
      </c>
      <c r="C224" s="39" t="s">
        <v>62</v>
      </c>
      <c r="D224" s="39" t="s">
        <v>54</v>
      </c>
      <c r="E224" s="40" t="n">
        <v>66</v>
      </c>
      <c r="F224" s="40" t="n">
        <v>999</v>
      </c>
      <c r="G224" s="41" t="n">
        <v>65934</v>
      </c>
      <c r="H224" s="41" t="n">
        <v>1104199</v>
      </c>
      <c r="I224" s="42" t="n">
        <v>0.0597120627712939</v>
      </c>
      <c r="J224" s="41" t="n">
        <v>124112</v>
      </c>
      <c r="K224" s="41" t="n">
        <v>-58178</v>
      </c>
    </row>
    <row r="225" customFormat="false" ht="15" hidden="false" customHeight="false" outlineLevel="0" collapsed="false">
      <c r="A225" s="43" t="s">
        <v>36</v>
      </c>
      <c r="B225" s="43" t="s">
        <v>33</v>
      </c>
      <c r="C225" s="43" t="s">
        <v>62</v>
      </c>
      <c r="D225" s="43" t="s">
        <v>55</v>
      </c>
      <c r="E225" s="44" t="n">
        <v>282</v>
      </c>
      <c r="F225" s="44" t="n">
        <v>500</v>
      </c>
      <c r="G225" s="45" t="n">
        <v>141000</v>
      </c>
      <c r="H225" s="45" t="n">
        <v>1941550</v>
      </c>
      <c r="I225" s="46" t="n">
        <v>0.0726223893281141</v>
      </c>
      <c r="J225" s="45" t="n">
        <v>111190</v>
      </c>
      <c r="K225" s="45" t="n">
        <v>29810</v>
      </c>
    </row>
    <row r="226" customFormat="false" ht="15" hidden="false" customHeight="false" outlineLevel="0" collapsed="false">
      <c r="A226" s="39" t="s">
        <v>37</v>
      </c>
      <c r="B226" s="39" t="s">
        <v>29</v>
      </c>
      <c r="C226" s="39" t="s">
        <v>51</v>
      </c>
      <c r="D226" s="39" t="s">
        <v>52</v>
      </c>
      <c r="E226" s="40" t="n">
        <v>185</v>
      </c>
      <c r="F226" s="40" t="n">
        <v>4999</v>
      </c>
      <c r="G226" s="41" t="n">
        <v>924815</v>
      </c>
      <c r="H226" s="41" t="n">
        <v>1886601</v>
      </c>
      <c r="I226" s="42" t="n">
        <v>0.490201690765562</v>
      </c>
      <c r="J226" s="41" t="n">
        <v>101857</v>
      </c>
      <c r="K226" s="41" t="n">
        <v>822958</v>
      </c>
    </row>
    <row r="227" customFormat="false" ht="15" hidden="false" customHeight="false" outlineLevel="0" collapsed="false">
      <c r="A227" s="43" t="s">
        <v>37</v>
      </c>
      <c r="B227" s="43" t="s">
        <v>29</v>
      </c>
      <c r="C227" s="43" t="s">
        <v>51</v>
      </c>
      <c r="D227" s="43" t="s">
        <v>53</v>
      </c>
      <c r="E227" s="44" t="n">
        <v>267</v>
      </c>
      <c r="F227" s="44" t="n">
        <v>500</v>
      </c>
      <c r="G227" s="45" t="n">
        <v>133500</v>
      </c>
      <c r="H227" s="45" t="n">
        <v>1642030</v>
      </c>
      <c r="I227" s="46" t="n">
        <v>0.0813018032557261</v>
      </c>
      <c r="J227" s="45" t="n">
        <v>108932</v>
      </c>
      <c r="K227" s="45" t="n">
        <v>24568</v>
      </c>
    </row>
    <row r="228" customFormat="false" ht="15" hidden="false" customHeight="false" outlineLevel="0" collapsed="false">
      <c r="A228" s="39" t="s">
        <v>37</v>
      </c>
      <c r="B228" s="39" t="s">
        <v>29</v>
      </c>
      <c r="C228" s="39" t="s">
        <v>51</v>
      </c>
      <c r="D228" s="39" t="s">
        <v>54</v>
      </c>
      <c r="E228" s="40" t="n">
        <v>381</v>
      </c>
      <c r="F228" s="40" t="n">
        <v>999</v>
      </c>
      <c r="G228" s="41" t="n">
        <v>380619</v>
      </c>
      <c r="H228" s="41" t="n">
        <v>1057071</v>
      </c>
      <c r="I228" s="42" t="n">
        <v>0.360069474992692</v>
      </c>
      <c r="J228" s="41" t="n">
        <v>87286</v>
      </c>
      <c r="K228" s="41" t="n">
        <v>293333</v>
      </c>
    </row>
    <row r="229" customFormat="false" ht="15" hidden="false" customHeight="false" outlineLevel="0" collapsed="false">
      <c r="A229" s="43" t="s">
        <v>37</v>
      </c>
      <c r="B229" s="43" t="s">
        <v>29</v>
      </c>
      <c r="C229" s="43" t="s">
        <v>51</v>
      </c>
      <c r="D229" s="43" t="s">
        <v>55</v>
      </c>
      <c r="E229" s="44" t="n">
        <v>86</v>
      </c>
      <c r="F229" s="44" t="n">
        <v>500</v>
      </c>
      <c r="G229" s="45" t="n">
        <v>43000</v>
      </c>
      <c r="H229" s="45" t="n">
        <v>847965</v>
      </c>
      <c r="I229" s="46" t="n">
        <v>0.0507096401384491</v>
      </c>
      <c r="J229" s="45" t="n">
        <v>130638</v>
      </c>
      <c r="K229" s="45" t="n">
        <v>-87638</v>
      </c>
    </row>
    <row r="230" customFormat="false" ht="15" hidden="false" customHeight="false" outlineLevel="0" collapsed="false">
      <c r="A230" s="39" t="s">
        <v>37</v>
      </c>
      <c r="B230" s="39" t="s">
        <v>29</v>
      </c>
      <c r="C230" s="39" t="s">
        <v>56</v>
      </c>
      <c r="D230" s="39" t="s">
        <v>52</v>
      </c>
      <c r="E230" s="40" t="n">
        <v>354</v>
      </c>
      <c r="F230" s="40" t="n">
        <v>4999</v>
      </c>
      <c r="G230" s="41" t="n">
        <v>1769646</v>
      </c>
      <c r="H230" s="41" t="n">
        <v>1105260</v>
      </c>
      <c r="I230" s="42" t="n">
        <v>1.60111286032246</v>
      </c>
      <c r="J230" s="41" t="n">
        <v>165121</v>
      </c>
      <c r="K230" s="41" t="n">
        <v>1604525</v>
      </c>
    </row>
    <row r="231" customFormat="false" ht="15" hidden="false" customHeight="false" outlineLevel="0" collapsed="false">
      <c r="A231" s="43" t="s">
        <v>37</v>
      </c>
      <c r="B231" s="43" t="s">
        <v>29</v>
      </c>
      <c r="C231" s="43" t="s">
        <v>56</v>
      </c>
      <c r="D231" s="43" t="s">
        <v>53</v>
      </c>
      <c r="E231" s="44" t="n">
        <v>113</v>
      </c>
      <c r="F231" s="44" t="n">
        <v>2499</v>
      </c>
      <c r="G231" s="45" t="n">
        <v>282387</v>
      </c>
      <c r="H231" s="45" t="n">
        <v>1944262</v>
      </c>
      <c r="I231" s="46" t="n">
        <v>0.145241227776915</v>
      </c>
      <c r="J231" s="45" t="n">
        <v>129715</v>
      </c>
      <c r="K231" s="45" t="n">
        <v>152672</v>
      </c>
    </row>
    <row r="232" customFormat="false" ht="15" hidden="false" customHeight="false" outlineLevel="0" collapsed="false">
      <c r="A232" s="39" t="s">
        <v>37</v>
      </c>
      <c r="B232" s="39" t="s">
        <v>29</v>
      </c>
      <c r="C232" s="39" t="s">
        <v>56</v>
      </c>
      <c r="D232" s="39" t="s">
        <v>54</v>
      </c>
      <c r="E232" s="40" t="n">
        <v>256</v>
      </c>
      <c r="F232" s="40" t="n">
        <v>1499</v>
      </c>
      <c r="G232" s="41" t="n">
        <v>383744</v>
      </c>
      <c r="H232" s="41" t="n">
        <v>1549566</v>
      </c>
      <c r="I232" s="42" t="n">
        <v>0.247646115105778</v>
      </c>
      <c r="J232" s="41" t="n">
        <v>191552</v>
      </c>
      <c r="K232" s="41" t="n">
        <v>192192</v>
      </c>
    </row>
    <row r="233" customFormat="false" ht="15" hidden="false" customHeight="false" outlineLevel="0" collapsed="false">
      <c r="A233" s="43" t="s">
        <v>37</v>
      </c>
      <c r="B233" s="43" t="s">
        <v>29</v>
      </c>
      <c r="C233" s="43" t="s">
        <v>56</v>
      </c>
      <c r="D233" s="43" t="s">
        <v>55</v>
      </c>
      <c r="E233" s="44" t="n">
        <v>302</v>
      </c>
      <c r="F233" s="44" t="n">
        <v>2499</v>
      </c>
      <c r="G233" s="45" t="n">
        <v>754698</v>
      </c>
      <c r="H233" s="45" t="n">
        <v>668698</v>
      </c>
      <c r="I233" s="46" t="n">
        <v>1.12860813102477</v>
      </c>
      <c r="J233" s="45" t="n">
        <v>60449</v>
      </c>
      <c r="K233" s="45" t="n">
        <v>694249</v>
      </c>
    </row>
    <row r="234" customFormat="false" ht="15" hidden="false" customHeight="false" outlineLevel="0" collapsed="false">
      <c r="A234" s="39" t="s">
        <v>37</v>
      </c>
      <c r="B234" s="39" t="s">
        <v>31</v>
      </c>
      <c r="C234" s="39" t="s">
        <v>57</v>
      </c>
      <c r="D234" s="39" t="s">
        <v>52</v>
      </c>
      <c r="E234" s="40" t="n">
        <v>271</v>
      </c>
      <c r="F234" s="40" t="n">
        <v>1499</v>
      </c>
      <c r="G234" s="41" t="n">
        <v>406229</v>
      </c>
      <c r="H234" s="41" t="n">
        <v>1766079</v>
      </c>
      <c r="I234" s="42" t="n">
        <v>0.230017456750236</v>
      </c>
      <c r="J234" s="41" t="n">
        <v>115632</v>
      </c>
      <c r="K234" s="41" t="n">
        <v>290597</v>
      </c>
    </row>
    <row r="235" customFormat="false" ht="15" hidden="false" customHeight="false" outlineLevel="0" collapsed="false">
      <c r="A235" s="43" t="s">
        <v>37</v>
      </c>
      <c r="B235" s="43" t="s">
        <v>31</v>
      </c>
      <c r="C235" s="43" t="s">
        <v>57</v>
      </c>
      <c r="D235" s="43" t="s">
        <v>53</v>
      </c>
      <c r="E235" s="44" t="n">
        <v>63</v>
      </c>
      <c r="F235" s="44" t="n">
        <v>500</v>
      </c>
      <c r="G235" s="45" t="n">
        <v>31500</v>
      </c>
      <c r="H235" s="45" t="n">
        <v>980089</v>
      </c>
      <c r="I235" s="46" t="n">
        <v>0.0321399383117248</v>
      </c>
      <c r="J235" s="45" t="n">
        <v>55438</v>
      </c>
      <c r="K235" s="45" t="n">
        <v>-23938</v>
      </c>
    </row>
    <row r="236" customFormat="false" ht="15" hidden="false" customHeight="false" outlineLevel="0" collapsed="false">
      <c r="A236" s="39" t="s">
        <v>37</v>
      </c>
      <c r="B236" s="39" t="s">
        <v>31</v>
      </c>
      <c r="C236" s="39" t="s">
        <v>57</v>
      </c>
      <c r="D236" s="39" t="s">
        <v>54</v>
      </c>
      <c r="E236" s="40" t="n">
        <v>394</v>
      </c>
      <c r="F236" s="40" t="n">
        <v>1499</v>
      </c>
      <c r="G236" s="41" t="n">
        <v>590606</v>
      </c>
      <c r="H236" s="41" t="n">
        <v>1708477</v>
      </c>
      <c r="I236" s="42" t="n">
        <v>0.345691513552714</v>
      </c>
      <c r="J236" s="41" t="n">
        <v>60546</v>
      </c>
      <c r="K236" s="41" t="n">
        <v>530060</v>
      </c>
    </row>
    <row r="237" customFormat="false" ht="15" hidden="false" customHeight="false" outlineLevel="0" collapsed="false">
      <c r="A237" s="43" t="s">
        <v>37</v>
      </c>
      <c r="B237" s="43" t="s">
        <v>31</v>
      </c>
      <c r="C237" s="43" t="s">
        <v>57</v>
      </c>
      <c r="D237" s="43" t="s">
        <v>55</v>
      </c>
      <c r="E237" s="44" t="n">
        <v>139</v>
      </c>
      <c r="F237" s="44" t="n">
        <v>2499</v>
      </c>
      <c r="G237" s="45" t="n">
        <v>347361</v>
      </c>
      <c r="H237" s="45" t="n">
        <v>1588346</v>
      </c>
      <c r="I237" s="46" t="n">
        <v>0.21869353402848</v>
      </c>
      <c r="J237" s="45" t="n">
        <v>165927</v>
      </c>
      <c r="K237" s="45" t="n">
        <v>181434</v>
      </c>
    </row>
    <row r="238" customFormat="false" ht="15" hidden="false" customHeight="false" outlineLevel="0" collapsed="false">
      <c r="A238" s="39" t="s">
        <v>37</v>
      </c>
      <c r="B238" s="39" t="s">
        <v>31</v>
      </c>
      <c r="C238" s="39" t="s">
        <v>58</v>
      </c>
      <c r="D238" s="39" t="s">
        <v>52</v>
      </c>
      <c r="E238" s="40" t="n">
        <v>192</v>
      </c>
      <c r="F238" s="40" t="n">
        <v>999</v>
      </c>
      <c r="G238" s="41" t="n">
        <v>191808</v>
      </c>
      <c r="H238" s="41" t="n">
        <v>1727525</v>
      </c>
      <c r="I238" s="42" t="n">
        <v>0.111030520542395</v>
      </c>
      <c r="J238" s="41" t="n">
        <v>164264</v>
      </c>
      <c r="K238" s="41" t="n">
        <v>27544</v>
      </c>
    </row>
    <row r="239" customFormat="false" ht="15" hidden="false" customHeight="false" outlineLevel="0" collapsed="false">
      <c r="A239" s="43" t="s">
        <v>37</v>
      </c>
      <c r="B239" s="43" t="s">
        <v>31</v>
      </c>
      <c r="C239" s="43" t="s">
        <v>58</v>
      </c>
      <c r="D239" s="43" t="s">
        <v>53</v>
      </c>
      <c r="E239" s="44" t="n">
        <v>375</v>
      </c>
      <c r="F239" s="44" t="n">
        <v>2499</v>
      </c>
      <c r="G239" s="45" t="n">
        <v>937125</v>
      </c>
      <c r="H239" s="45" t="n">
        <v>691349</v>
      </c>
      <c r="I239" s="46" t="n">
        <v>1.35550206914308</v>
      </c>
      <c r="J239" s="45" t="n">
        <v>173210</v>
      </c>
      <c r="K239" s="45" t="n">
        <v>763915</v>
      </c>
    </row>
    <row r="240" customFormat="false" ht="15" hidden="false" customHeight="false" outlineLevel="0" collapsed="false">
      <c r="A240" s="39" t="s">
        <v>37</v>
      </c>
      <c r="B240" s="39" t="s">
        <v>31</v>
      </c>
      <c r="C240" s="39" t="s">
        <v>58</v>
      </c>
      <c r="D240" s="39" t="s">
        <v>54</v>
      </c>
      <c r="E240" s="40" t="n">
        <v>228</v>
      </c>
      <c r="F240" s="40" t="n">
        <v>2499</v>
      </c>
      <c r="G240" s="41" t="n">
        <v>569772</v>
      </c>
      <c r="H240" s="41" t="n">
        <v>1198998</v>
      </c>
      <c r="I240" s="42" t="n">
        <v>0.47520679767606</v>
      </c>
      <c r="J240" s="41" t="n">
        <v>134163</v>
      </c>
      <c r="K240" s="41" t="n">
        <v>435609</v>
      </c>
    </row>
    <row r="241" customFormat="false" ht="15" hidden="false" customHeight="false" outlineLevel="0" collapsed="false">
      <c r="A241" s="43" t="s">
        <v>37</v>
      </c>
      <c r="B241" s="43" t="s">
        <v>31</v>
      </c>
      <c r="C241" s="43" t="s">
        <v>58</v>
      </c>
      <c r="D241" s="43" t="s">
        <v>55</v>
      </c>
      <c r="E241" s="44" t="n">
        <v>393</v>
      </c>
      <c r="F241" s="44" t="n">
        <v>500</v>
      </c>
      <c r="G241" s="45" t="n">
        <v>196500</v>
      </c>
      <c r="H241" s="45" t="n">
        <v>837274</v>
      </c>
      <c r="I241" s="46" t="n">
        <v>0.234690196996443</v>
      </c>
      <c r="J241" s="45" t="n">
        <v>136456</v>
      </c>
      <c r="K241" s="45" t="n">
        <v>60044</v>
      </c>
    </row>
    <row r="242" customFormat="false" ht="15" hidden="false" customHeight="false" outlineLevel="0" collapsed="false">
      <c r="A242" s="39" t="s">
        <v>37</v>
      </c>
      <c r="B242" s="39" t="s">
        <v>27</v>
      </c>
      <c r="C242" s="39" t="s">
        <v>59</v>
      </c>
      <c r="D242" s="39" t="s">
        <v>52</v>
      </c>
      <c r="E242" s="40" t="n">
        <v>260</v>
      </c>
      <c r="F242" s="40" t="n">
        <v>2499</v>
      </c>
      <c r="G242" s="41" t="n">
        <v>649740</v>
      </c>
      <c r="H242" s="41" t="n">
        <v>1104436</v>
      </c>
      <c r="I242" s="42" t="n">
        <v>0.588300272718383</v>
      </c>
      <c r="J242" s="41" t="n">
        <v>154976</v>
      </c>
      <c r="K242" s="41" t="n">
        <v>494764</v>
      </c>
    </row>
    <row r="243" customFormat="false" ht="15" hidden="false" customHeight="false" outlineLevel="0" collapsed="false">
      <c r="A243" s="43" t="s">
        <v>37</v>
      </c>
      <c r="B243" s="43" t="s">
        <v>27</v>
      </c>
      <c r="C243" s="43" t="s">
        <v>59</v>
      </c>
      <c r="D243" s="43" t="s">
        <v>53</v>
      </c>
      <c r="E243" s="44" t="n">
        <v>331</v>
      </c>
      <c r="F243" s="44" t="n">
        <v>500</v>
      </c>
      <c r="G243" s="45" t="n">
        <v>165500</v>
      </c>
      <c r="H243" s="45" t="n">
        <v>1453839</v>
      </c>
      <c r="I243" s="46" t="n">
        <v>0.113836538984028</v>
      </c>
      <c r="J243" s="45" t="n">
        <v>73084</v>
      </c>
      <c r="K243" s="45" t="n">
        <v>92416</v>
      </c>
    </row>
    <row r="244" customFormat="false" ht="15" hidden="false" customHeight="false" outlineLevel="0" collapsed="false">
      <c r="A244" s="39" t="s">
        <v>37</v>
      </c>
      <c r="B244" s="39" t="s">
        <v>27</v>
      </c>
      <c r="C244" s="39" t="s">
        <v>59</v>
      </c>
      <c r="D244" s="39" t="s">
        <v>54</v>
      </c>
      <c r="E244" s="40" t="n">
        <v>211</v>
      </c>
      <c r="F244" s="40" t="n">
        <v>1499</v>
      </c>
      <c r="G244" s="41" t="n">
        <v>316289</v>
      </c>
      <c r="H244" s="41" t="n">
        <v>1177954</v>
      </c>
      <c r="I244" s="42" t="n">
        <v>0.268507089410962</v>
      </c>
      <c r="J244" s="41" t="n">
        <v>80388</v>
      </c>
      <c r="K244" s="41" t="n">
        <v>235901</v>
      </c>
    </row>
    <row r="245" customFormat="false" ht="15" hidden="false" customHeight="false" outlineLevel="0" collapsed="false">
      <c r="A245" s="43" t="s">
        <v>37</v>
      </c>
      <c r="B245" s="43" t="s">
        <v>27</v>
      </c>
      <c r="C245" s="43" t="s">
        <v>59</v>
      </c>
      <c r="D245" s="43" t="s">
        <v>55</v>
      </c>
      <c r="E245" s="44" t="n">
        <v>256</v>
      </c>
      <c r="F245" s="44" t="n">
        <v>4999</v>
      </c>
      <c r="G245" s="45" t="n">
        <v>1279744</v>
      </c>
      <c r="H245" s="45" t="n">
        <v>502413</v>
      </c>
      <c r="I245" s="46" t="n">
        <v>2.54719523579207</v>
      </c>
      <c r="J245" s="45" t="n">
        <v>192237</v>
      </c>
      <c r="K245" s="45" t="n">
        <v>1087507</v>
      </c>
    </row>
    <row r="246" customFormat="false" ht="15" hidden="false" customHeight="false" outlineLevel="0" collapsed="false">
      <c r="A246" s="39" t="s">
        <v>37</v>
      </c>
      <c r="B246" s="39" t="s">
        <v>27</v>
      </c>
      <c r="C246" s="39" t="s">
        <v>60</v>
      </c>
      <c r="D246" s="39" t="s">
        <v>52</v>
      </c>
      <c r="E246" s="40" t="n">
        <v>286</v>
      </c>
      <c r="F246" s="40" t="n">
        <v>2499</v>
      </c>
      <c r="G246" s="41" t="n">
        <v>714714</v>
      </c>
      <c r="H246" s="41" t="n">
        <v>613674</v>
      </c>
      <c r="I246" s="42" t="n">
        <v>1.16464767938678</v>
      </c>
      <c r="J246" s="41" t="n">
        <v>99173</v>
      </c>
      <c r="K246" s="41" t="n">
        <v>615541</v>
      </c>
    </row>
    <row r="247" customFormat="false" ht="15" hidden="false" customHeight="false" outlineLevel="0" collapsed="false">
      <c r="A247" s="43" t="s">
        <v>37</v>
      </c>
      <c r="B247" s="43" t="s">
        <v>27</v>
      </c>
      <c r="C247" s="43" t="s">
        <v>60</v>
      </c>
      <c r="D247" s="43" t="s">
        <v>53</v>
      </c>
      <c r="E247" s="44" t="n">
        <v>315</v>
      </c>
      <c r="F247" s="44" t="n">
        <v>1499</v>
      </c>
      <c r="G247" s="45" t="n">
        <v>472185</v>
      </c>
      <c r="H247" s="45" t="n">
        <v>1805757</v>
      </c>
      <c r="I247" s="46" t="n">
        <v>0.261488672063849</v>
      </c>
      <c r="J247" s="45" t="n">
        <v>180676</v>
      </c>
      <c r="K247" s="45" t="n">
        <v>291509</v>
      </c>
    </row>
    <row r="248" customFormat="false" ht="15" hidden="false" customHeight="false" outlineLevel="0" collapsed="false">
      <c r="A248" s="39" t="s">
        <v>37</v>
      </c>
      <c r="B248" s="39" t="s">
        <v>27</v>
      </c>
      <c r="C248" s="39" t="s">
        <v>60</v>
      </c>
      <c r="D248" s="39" t="s">
        <v>54</v>
      </c>
      <c r="E248" s="40" t="n">
        <v>370</v>
      </c>
      <c r="F248" s="40" t="n">
        <v>2499</v>
      </c>
      <c r="G248" s="41" t="n">
        <v>924630</v>
      </c>
      <c r="H248" s="41" t="n">
        <v>608237</v>
      </c>
      <c r="I248" s="42" t="n">
        <v>1.52018045597358</v>
      </c>
      <c r="J248" s="41" t="n">
        <v>103361</v>
      </c>
      <c r="K248" s="41" t="n">
        <v>821269</v>
      </c>
    </row>
    <row r="249" customFormat="false" ht="15" hidden="false" customHeight="false" outlineLevel="0" collapsed="false">
      <c r="A249" s="43" t="s">
        <v>37</v>
      </c>
      <c r="B249" s="43" t="s">
        <v>27</v>
      </c>
      <c r="C249" s="43" t="s">
        <v>60</v>
      </c>
      <c r="D249" s="43" t="s">
        <v>55</v>
      </c>
      <c r="E249" s="44" t="n">
        <v>186</v>
      </c>
      <c r="F249" s="44" t="n">
        <v>4999</v>
      </c>
      <c r="G249" s="45" t="n">
        <v>929814</v>
      </c>
      <c r="H249" s="45" t="n">
        <v>774754</v>
      </c>
      <c r="I249" s="46" t="n">
        <v>1.20014094796542</v>
      </c>
      <c r="J249" s="45" t="n">
        <v>125505</v>
      </c>
      <c r="K249" s="45" t="n">
        <v>804309</v>
      </c>
    </row>
    <row r="250" customFormat="false" ht="15" hidden="false" customHeight="false" outlineLevel="0" collapsed="false">
      <c r="A250" s="39" t="s">
        <v>37</v>
      </c>
      <c r="B250" s="39" t="s">
        <v>33</v>
      </c>
      <c r="C250" s="39" t="s">
        <v>61</v>
      </c>
      <c r="D250" s="39" t="s">
        <v>52</v>
      </c>
      <c r="E250" s="40" t="n">
        <v>274</v>
      </c>
      <c r="F250" s="40" t="n">
        <v>2499</v>
      </c>
      <c r="G250" s="41" t="n">
        <v>684726</v>
      </c>
      <c r="H250" s="41" t="n">
        <v>754648</v>
      </c>
      <c r="I250" s="42" t="n">
        <v>0.907344881322153</v>
      </c>
      <c r="J250" s="41" t="n">
        <v>57567</v>
      </c>
      <c r="K250" s="41" t="n">
        <v>627159</v>
      </c>
    </row>
    <row r="251" customFormat="false" ht="15" hidden="false" customHeight="false" outlineLevel="0" collapsed="false">
      <c r="A251" s="43" t="s">
        <v>37</v>
      </c>
      <c r="B251" s="43" t="s">
        <v>33</v>
      </c>
      <c r="C251" s="43" t="s">
        <v>61</v>
      </c>
      <c r="D251" s="43" t="s">
        <v>53</v>
      </c>
      <c r="E251" s="44" t="n">
        <v>372</v>
      </c>
      <c r="F251" s="44" t="n">
        <v>4999</v>
      </c>
      <c r="G251" s="45" t="n">
        <v>1859628</v>
      </c>
      <c r="H251" s="45" t="n">
        <v>1001843</v>
      </c>
      <c r="I251" s="46" t="n">
        <v>1.85620701047969</v>
      </c>
      <c r="J251" s="45" t="n">
        <v>91517</v>
      </c>
      <c r="K251" s="45" t="n">
        <v>1768111</v>
      </c>
    </row>
    <row r="252" customFormat="false" ht="15" hidden="false" customHeight="false" outlineLevel="0" collapsed="false">
      <c r="A252" s="39" t="s">
        <v>37</v>
      </c>
      <c r="B252" s="39" t="s">
        <v>33</v>
      </c>
      <c r="C252" s="39" t="s">
        <v>61</v>
      </c>
      <c r="D252" s="39" t="s">
        <v>54</v>
      </c>
      <c r="E252" s="40" t="n">
        <v>209</v>
      </c>
      <c r="F252" s="40" t="n">
        <v>4999</v>
      </c>
      <c r="G252" s="41" t="n">
        <v>1044791</v>
      </c>
      <c r="H252" s="41" t="n">
        <v>528677</v>
      </c>
      <c r="I252" s="42" t="n">
        <v>1.97623690835803</v>
      </c>
      <c r="J252" s="41" t="n">
        <v>194769</v>
      </c>
      <c r="K252" s="41" t="n">
        <v>850022</v>
      </c>
    </row>
    <row r="253" customFormat="false" ht="15" hidden="false" customHeight="false" outlineLevel="0" collapsed="false">
      <c r="A253" s="43" t="s">
        <v>37</v>
      </c>
      <c r="B253" s="43" t="s">
        <v>33</v>
      </c>
      <c r="C253" s="43" t="s">
        <v>61</v>
      </c>
      <c r="D253" s="43" t="s">
        <v>55</v>
      </c>
      <c r="E253" s="44" t="n">
        <v>258</v>
      </c>
      <c r="F253" s="44" t="n">
        <v>500</v>
      </c>
      <c r="G253" s="45" t="n">
        <v>129000</v>
      </c>
      <c r="H253" s="45" t="n">
        <v>971231</v>
      </c>
      <c r="I253" s="46" t="n">
        <v>0.132821131121227</v>
      </c>
      <c r="J253" s="45" t="n">
        <v>79743</v>
      </c>
      <c r="K253" s="45" t="n">
        <v>49257</v>
      </c>
    </row>
    <row r="254" customFormat="false" ht="15" hidden="false" customHeight="false" outlineLevel="0" collapsed="false">
      <c r="A254" s="39" t="s">
        <v>37</v>
      </c>
      <c r="B254" s="39" t="s">
        <v>33</v>
      </c>
      <c r="C254" s="39" t="s">
        <v>62</v>
      </c>
      <c r="D254" s="39" t="s">
        <v>52</v>
      </c>
      <c r="E254" s="40" t="n">
        <v>286</v>
      </c>
      <c r="F254" s="40" t="n">
        <v>500</v>
      </c>
      <c r="G254" s="41" t="n">
        <v>143000</v>
      </c>
      <c r="H254" s="41" t="n">
        <v>1858345</v>
      </c>
      <c r="I254" s="42" t="n">
        <v>0.0769501895503795</v>
      </c>
      <c r="J254" s="41" t="n">
        <v>90362</v>
      </c>
      <c r="K254" s="41" t="n">
        <v>52638</v>
      </c>
    </row>
    <row r="255" customFormat="false" ht="15" hidden="false" customHeight="false" outlineLevel="0" collapsed="false">
      <c r="A255" s="43" t="s">
        <v>37</v>
      </c>
      <c r="B255" s="43" t="s">
        <v>33</v>
      </c>
      <c r="C255" s="43" t="s">
        <v>62</v>
      </c>
      <c r="D255" s="43" t="s">
        <v>53</v>
      </c>
      <c r="E255" s="44" t="n">
        <v>305</v>
      </c>
      <c r="F255" s="44" t="n">
        <v>1499</v>
      </c>
      <c r="G255" s="45" t="n">
        <v>457195</v>
      </c>
      <c r="H255" s="45" t="n">
        <v>1567181</v>
      </c>
      <c r="I255" s="46" t="n">
        <v>0.291730821136806</v>
      </c>
      <c r="J255" s="45" t="n">
        <v>121676</v>
      </c>
      <c r="K255" s="45" t="n">
        <v>335519</v>
      </c>
    </row>
    <row r="256" customFormat="false" ht="15" hidden="false" customHeight="false" outlineLevel="0" collapsed="false">
      <c r="A256" s="39" t="s">
        <v>37</v>
      </c>
      <c r="B256" s="39" t="s">
        <v>33</v>
      </c>
      <c r="C256" s="39" t="s">
        <v>62</v>
      </c>
      <c r="D256" s="39" t="s">
        <v>54</v>
      </c>
      <c r="E256" s="40" t="n">
        <v>262</v>
      </c>
      <c r="F256" s="40" t="n">
        <v>2499</v>
      </c>
      <c r="G256" s="41" t="n">
        <v>654738</v>
      </c>
      <c r="H256" s="41" t="n">
        <v>1490316</v>
      </c>
      <c r="I256" s="42" t="n">
        <v>0.439328303527574</v>
      </c>
      <c r="J256" s="41" t="n">
        <v>113892</v>
      </c>
      <c r="K256" s="41" t="n">
        <v>540846</v>
      </c>
    </row>
    <row r="257" customFormat="false" ht="15" hidden="false" customHeight="false" outlineLevel="0" collapsed="false">
      <c r="A257" s="43" t="s">
        <v>37</v>
      </c>
      <c r="B257" s="43" t="s">
        <v>33</v>
      </c>
      <c r="C257" s="43" t="s">
        <v>62</v>
      </c>
      <c r="D257" s="43" t="s">
        <v>55</v>
      </c>
      <c r="E257" s="44" t="n">
        <v>283</v>
      </c>
      <c r="F257" s="44" t="n">
        <v>4999</v>
      </c>
      <c r="G257" s="45" t="n">
        <v>1414717</v>
      </c>
      <c r="H257" s="45" t="n">
        <v>803336</v>
      </c>
      <c r="I257" s="46" t="n">
        <v>1.76105266040611</v>
      </c>
      <c r="J257" s="45" t="n">
        <v>150554</v>
      </c>
      <c r="K257" s="45" t="n">
        <v>1264163</v>
      </c>
    </row>
    <row r="258" customFormat="false" ht="15" hidden="false" customHeight="false" outlineLevel="0" collapsed="false">
      <c r="A258" s="39" t="s">
        <v>38</v>
      </c>
      <c r="B258" s="39" t="s">
        <v>29</v>
      </c>
      <c r="C258" s="39" t="s">
        <v>51</v>
      </c>
      <c r="D258" s="39" t="s">
        <v>52</v>
      </c>
      <c r="E258" s="40" t="n">
        <v>147</v>
      </c>
      <c r="F258" s="40" t="n">
        <v>4999</v>
      </c>
      <c r="G258" s="41" t="n">
        <v>734853</v>
      </c>
      <c r="H258" s="41" t="n">
        <v>1565858</v>
      </c>
      <c r="I258" s="42" t="n">
        <v>0.469297343692723</v>
      </c>
      <c r="J258" s="41" t="n">
        <v>85784</v>
      </c>
      <c r="K258" s="41" t="n">
        <v>649069</v>
      </c>
    </row>
    <row r="259" customFormat="false" ht="15" hidden="false" customHeight="false" outlineLevel="0" collapsed="false">
      <c r="A259" s="43" t="s">
        <v>38</v>
      </c>
      <c r="B259" s="43" t="s">
        <v>29</v>
      </c>
      <c r="C259" s="43" t="s">
        <v>51</v>
      </c>
      <c r="D259" s="43" t="s">
        <v>53</v>
      </c>
      <c r="E259" s="44" t="n">
        <v>85</v>
      </c>
      <c r="F259" s="44" t="n">
        <v>1499</v>
      </c>
      <c r="G259" s="45" t="n">
        <v>127415</v>
      </c>
      <c r="H259" s="45" t="n">
        <v>1370197</v>
      </c>
      <c r="I259" s="46" t="n">
        <v>0.092990278040311</v>
      </c>
      <c r="J259" s="45" t="n">
        <v>139096</v>
      </c>
      <c r="K259" s="45" t="n">
        <v>-11681</v>
      </c>
    </row>
    <row r="260" customFormat="false" ht="15" hidden="false" customHeight="false" outlineLevel="0" collapsed="false">
      <c r="A260" s="39" t="s">
        <v>38</v>
      </c>
      <c r="B260" s="39" t="s">
        <v>29</v>
      </c>
      <c r="C260" s="39" t="s">
        <v>51</v>
      </c>
      <c r="D260" s="39" t="s">
        <v>54</v>
      </c>
      <c r="E260" s="40" t="n">
        <v>309</v>
      </c>
      <c r="F260" s="40" t="n">
        <v>1499</v>
      </c>
      <c r="G260" s="41" t="n">
        <v>463191</v>
      </c>
      <c r="H260" s="41" t="n">
        <v>505379</v>
      </c>
      <c r="I260" s="42" t="n">
        <v>0.916522055724516</v>
      </c>
      <c r="J260" s="41" t="n">
        <v>124144</v>
      </c>
      <c r="K260" s="41" t="n">
        <v>339047</v>
      </c>
    </row>
    <row r="261" customFormat="false" ht="15" hidden="false" customHeight="false" outlineLevel="0" collapsed="false">
      <c r="A261" s="43" t="s">
        <v>38</v>
      </c>
      <c r="B261" s="43" t="s">
        <v>29</v>
      </c>
      <c r="C261" s="43" t="s">
        <v>51</v>
      </c>
      <c r="D261" s="43" t="s">
        <v>55</v>
      </c>
      <c r="E261" s="44" t="n">
        <v>202</v>
      </c>
      <c r="F261" s="44" t="n">
        <v>4999</v>
      </c>
      <c r="G261" s="45" t="n">
        <v>1009798</v>
      </c>
      <c r="H261" s="45" t="n">
        <v>1716187</v>
      </c>
      <c r="I261" s="46" t="n">
        <v>0.588396252855895</v>
      </c>
      <c r="J261" s="45" t="n">
        <v>178356</v>
      </c>
      <c r="K261" s="45" t="n">
        <v>831442</v>
      </c>
    </row>
    <row r="262" customFormat="false" ht="15" hidden="false" customHeight="false" outlineLevel="0" collapsed="false">
      <c r="A262" s="39" t="s">
        <v>38</v>
      </c>
      <c r="B262" s="39" t="s">
        <v>29</v>
      </c>
      <c r="C262" s="39" t="s">
        <v>56</v>
      </c>
      <c r="D262" s="39" t="s">
        <v>52</v>
      </c>
      <c r="E262" s="40" t="n">
        <v>126</v>
      </c>
      <c r="F262" s="40" t="n">
        <v>2499</v>
      </c>
      <c r="G262" s="41" t="n">
        <v>314874</v>
      </c>
      <c r="H262" s="41" t="n">
        <v>1629485</v>
      </c>
      <c r="I262" s="42" t="n">
        <v>0.193235285995268</v>
      </c>
      <c r="J262" s="41" t="n">
        <v>176967</v>
      </c>
      <c r="K262" s="41" t="n">
        <v>137907</v>
      </c>
    </row>
    <row r="263" customFormat="false" ht="15" hidden="false" customHeight="false" outlineLevel="0" collapsed="false">
      <c r="A263" s="43" t="s">
        <v>38</v>
      </c>
      <c r="B263" s="43" t="s">
        <v>29</v>
      </c>
      <c r="C263" s="43" t="s">
        <v>56</v>
      </c>
      <c r="D263" s="43" t="s">
        <v>53</v>
      </c>
      <c r="E263" s="44" t="n">
        <v>226</v>
      </c>
      <c r="F263" s="44" t="n">
        <v>1499</v>
      </c>
      <c r="G263" s="45" t="n">
        <v>338774</v>
      </c>
      <c r="H263" s="45" t="n">
        <v>1657454</v>
      </c>
      <c r="I263" s="46" t="n">
        <v>0.204394209432057</v>
      </c>
      <c r="J263" s="45" t="n">
        <v>192456</v>
      </c>
      <c r="K263" s="45" t="n">
        <v>146318</v>
      </c>
    </row>
    <row r="264" customFormat="false" ht="15" hidden="false" customHeight="false" outlineLevel="0" collapsed="false">
      <c r="A264" s="39" t="s">
        <v>38</v>
      </c>
      <c r="B264" s="39" t="s">
        <v>29</v>
      </c>
      <c r="C264" s="39" t="s">
        <v>56</v>
      </c>
      <c r="D264" s="39" t="s">
        <v>54</v>
      </c>
      <c r="E264" s="40" t="n">
        <v>243</v>
      </c>
      <c r="F264" s="40" t="n">
        <v>2499</v>
      </c>
      <c r="G264" s="41" t="n">
        <v>607257</v>
      </c>
      <c r="H264" s="41" t="n">
        <v>1174816</v>
      </c>
      <c r="I264" s="42" t="n">
        <v>0.516895411707025</v>
      </c>
      <c r="J264" s="41" t="n">
        <v>99454</v>
      </c>
      <c r="K264" s="41" t="n">
        <v>507803</v>
      </c>
    </row>
    <row r="265" customFormat="false" ht="15" hidden="false" customHeight="false" outlineLevel="0" collapsed="false">
      <c r="A265" s="43" t="s">
        <v>38</v>
      </c>
      <c r="B265" s="43" t="s">
        <v>29</v>
      </c>
      <c r="C265" s="43" t="s">
        <v>56</v>
      </c>
      <c r="D265" s="43" t="s">
        <v>55</v>
      </c>
      <c r="E265" s="44" t="n">
        <v>172</v>
      </c>
      <c r="F265" s="44" t="n">
        <v>4999</v>
      </c>
      <c r="G265" s="45" t="n">
        <v>859828</v>
      </c>
      <c r="H265" s="45" t="n">
        <v>1303148</v>
      </c>
      <c r="I265" s="46" t="n">
        <v>0.659808402422442</v>
      </c>
      <c r="J265" s="45" t="n">
        <v>111226</v>
      </c>
      <c r="K265" s="45" t="n">
        <v>748602</v>
      </c>
    </row>
    <row r="266" customFormat="false" ht="15" hidden="false" customHeight="false" outlineLevel="0" collapsed="false">
      <c r="A266" s="39" t="s">
        <v>38</v>
      </c>
      <c r="B266" s="39" t="s">
        <v>31</v>
      </c>
      <c r="C266" s="39" t="s">
        <v>57</v>
      </c>
      <c r="D266" s="39" t="s">
        <v>52</v>
      </c>
      <c r="E266" s="40" t="n">
        <v>260</v>
      </c>
      <c r="F266" s="40" t="n">
        <v>500</v>
      </c>
      <c r="G266" s="41" t="n">
        <v>130000</v>
      </c>
      <c r="H266" s="41" t="n">
        <v>1167264</v>
      </c>
      <c r="I266" s="42" t="n">
        <v>0.111371549195383</v>
      </c>
      <c r="J266" s="41" t="n">
        <v>173987</v>
      </c>
      <c r="K266" s="41" t="n">
        <v>-43987</v>
      </c>
    </row>
    <row r="267" customFormat="false" ht="15" hidden="false" customHeight="false" outlineLevel="0" collapsed="false">
      <c r="A267" s="43" t="s">
        <v>38</v>
      </c>
      <c r="B267" s="43" t="s">
        <v>31</v>
      </c>
      <c r="C267" s="43" t="s">
        <v>57</v>
      </c>
      <c r="D267" s="43" t="s">
        <v>53</v>
      </c>
      <c r="E267" s="44" t="n">
        <v>245</v>
      </c>
      <c r="F267" s="44" t="n">
        <v>2499</v>
      </c>
      <c r="G267" s="45" t="n">
        <v>612255</v>
      </c>
      <c r="H267" s="45" t="n">
        <v>1891856</v>
      </c>
      <c r="I267" s="46" t="n">
        <v>0.323626639659678</v>
      </c>
      <c r="J267" s="45" t="n">
        <v>89873</v>
      </c>
      <c r="K267" s="45" t="n">
        <v>522382</v>
      </c>
    </row>
    <row r="268" customFormat="false" ht="15" hidden="false" customHeight="false" outlineLevel="0" collapsed="false">
      <c r="A268" s="39" t="s">
        <v>38</v>
      </c>
      <c r="B268" s="39" t="s">
        <v>31</v>
      </c>
      <c r="C268" s="39" t="s">
        <v>57</v>
      </c>
      <c r="D268" s="39" t="s">
        <v>54</v>
      </c>
      <c r="E268" s="40" t="n">
        <v>303</v>
      </c>
      <c r="F268" s="40" t="n">
        <v>500</v>
      </c>
      <c r="G268" s="41" t="n">
        <v>151500</v>
      </c>
      <c r="H268" s="41" t="n">
        <v>764757</v>
      </c>
      <c r="I268" s="42" t="n">
        <v>0.198102142249107</v>
      </c>
      <c r="J268" s="41" t="n">
        <v>181672</v>
      </c>
      <c r="K268" s="41" t="n">
        <v>-30172</v>
      </c>
    </row>
    <row r="269" customFormat="false" ht="15" hidden="false" customHeight="false" outlineLevel="0" collapsed="false">
      <c r="A269" s="43" t="s">
        <v>38</v>
      </c>
      <c r="B269" s="43" t="s">
        <v>31</v>
      </c>
      <c r="C269" s="43" t="s">
        <v>57</v>
      </c>
      <c r="D269" s="43" t="s">
        <v>55</v>
      </c>
      <c r="E269" s="44" t="n">
        <v>352</v>
      </c>
      <c r="F269" s="44" t="n">
        <v>1499</v>
      </c>
      <c r="G269" s="45" t="n">
        <v>527648</v>
      </c>
      <c r="H269" s="45" t="n">
        <v>710479</v>
      </c>
      <c r="I269" s="46" t="n">
        <v>0.742665159702116</v>
      </c>
      <c r="J269" s="45" t="n">
        <v>165423</v>
      </c>
      <c r="K269" s="45" t="n">
        <v>362225</v>
      </c>
    </row>
    <row r="270" customFormat="false" ht="15" hidden="false" customHeight="false" outlineLevel="0" collapsed="false">
      <c r="A270" s="39" t="s">
        <v>38</v>
      </c>
      <c r="B270" s="39" t="s">
        <v>31</v>
      </c>
      <c r="C270" s="39" t="s">
        <v>58</v>
      </c>
      <c r="D270" s="39" t="s">
        <v>52</v>
      </c>
      <c r="E270" s="40" t="n">
        <v>101</v>
      </c>
      <c r="F270" s="40" t="n">
        <v>4999</v>
      </c>
      <c r="G270" s="41" t="n">
        <v>504899</v>
      </c>
      <c r="H270" s="41" t="n">
        <v>1458247</v>
      </c>
      <c r="I270" s="42" t="n">
        <v>0.346236954370556</v>
      </c>
      <c r="J270" s="41" t="n">
        <v>54023</v>
      </c>
      <c r="K270" s="41" t="n">
        <v>450876</v>
      </c>
    </row>
    <row r="271" customFormat="false" ht="15" hidden="false" customHeight="false" outlineLevel="0" collapsed="false">
      <c r="A271" s="43" t="s">
        <v>38</v>
      </c>
      <c r="B271" s="43" t="s">
        <v>31</v>
      </c>
      <c r="C271" s="43" t="s">
        <v>58</v>
      </c>
      <c r="D271" s="43" t="s">
        <v>53</v>
      </c>
      <c r="E271" s="44" t="n">
        <v>123</v>
      </c>
      <c r="F271" s="44" t="n">
        <v>2499</v>
      </c>
      <c r="G271" s="45" t="n">
        <v>307377</v>
      </c>
      <c r="H271" s="45" t="n">
        <v>1873175</v>
      </c>
      <c r="I271" s="46" t="n">
        <v>0.164094118275121</v>
      </c>
      <c r="J271" s="45" t="n">
        <v>90464</v>
      </c>
      <c r="K271" s="45" t="n">
        <v>216913</v>
      </c>
    </row>
    <row r="272" customFormat="false" ht="15" hidden="false" customHeight="false" outlineLevel="0" collapsed="false">
      <c r="A272" s="39" t="s">
        <v>38</v>
      </c>
      <c r="B272" s="39" t="s">
        <v>31</v>
      </c>
      <c r="C272" s="39" t="s">
        <v>58</v>
      </c>
      <c r="D272" s="39" t="s">
        <v>54</v>
      </c>
      <c r="E272" s="40" t="n">
        <v>88</v>
      </c>
      <c r="F272" s="40" t="n">
        <v>2499</v>
      </c>
      <c r="G272" s="41" t="n">
        <v>219912</v>
      </c>
      <c r="H272" s="41" t="n">
        <v>1055793</v>
      </c>
      <c r="I272" s="42" t="n">
        <v>0.208290829736511</v>
      </c>
      <c r="J272" s="41" t="n">
        <v>138751</v>
      </c>
      <c r="K272" s="41" t="n">
        <v>81161</v>
      </c>
    </row>
    <row r="273" customFormat="false" ht="15" hidden="false" customHeight="false" outlineLevel="0" collapsed="false">
      <c r="A273" s="43" t="s">
        <v>38</v>
      </c>
      <c r="B273" s="43" t="s">
        <v>31</v>
      </c>
      <c r="C273" s="43" t="s">
        <v>58</v>
      </c>
      <c r="D273" s="43" t="s">
        <v>55</v>
      </c>
      <c r="E273" s="44" t="n">
        <v>369</v>
      </c>
      <c r="F273" s="44" t="n">
        <v>2499</v>
      </c>
      <c r="G273" s="45" t="n">
        <v>922131</v>
      </c>
      <c r="H273" s="45" t="n">
        <v>1862806</v>
      </c>
      <c r="I273" s="46" t="n">
        <v>0.495022562736002</v>
      </c>
      <c r="J273" s="45" t="n">
        <v>71054</v>
      </c>
      <c r="K273" s="45" t="n">
        <v>851077</v>
      </c>
    </row>
    <row r="274" customFormat="false" ht="15" hidden="false" customHeight="false" outlineLevel="0" collapsed="false">
      <c r="A274" s="39" t="s">
        <v>38</v>
      </c>
      <c r="B274" s="39" t="s">
        <v>27</v>
      </c>
      <c r="C274" s="39" t="s">
        <v>59</v>
      </c>
      <c r="D274" s="39" t="s">
        <v>52</v>
      </c>
      <c r="E274" s="40" t="n">
        <v>218</v>
      </c>
      <c r="F274" s="40" t="n">
        <v>4999</v>
      </c>
      <c r="G274" s="41" t="n">
        <v>1089782</v>
      </c>
      <c r="H274" s="41" t="n">
        <v>1296937</v>
      </c>
      <c r="I274" s="42" t="n">
        <v>0.840273660170078</v>
      </c>
      <c r="J274" s="41" t="n">
        <v>133010</v>
      </c>
      <c r="K274" s="41" t="n">
        <v>956772</v>
      </c>
    </row>
    <row r="275" customFormat="false" ht="15" hidden="false" customHeight="false" outlineLevel="0" collapsed="false">
      <c r="A275" s="43" t="s">
        <v>38</v>
      </c>
      <c r="B275" s="43" t="s">
        <v>27</v>
      </c>
      <c r="C275" s="43" t="s">
        <v>59</v>
      </c>
      <c r="D275" s="43" t="s">
        <v>53</v>
      </c>
      <c r="E275" s="44" t="n">
        <v>370</v>
      </c>
      <c r="F275" s="44" t="n">
        <v>2499</v>
      </c>
      <c r="G275" s="45" t="n">
        <v>924630</v>
      </c>
      <c r="H275" s="45" t="n">
        <v>1634592</v>
      </c>
      <c r="I275" s="46" t="n">
        <v>0.565664092323956</v>
      </c>
      <c r="J275" s="45" t="n">
        <v>59410</v>
      </c>
      <c r="K275" s="45" t="n">
        <v>865220</v>
      </c>
    </row>
    <row r="276" customFormat="false" ht="15" hidden="false" customHeight="false" outlineLevel="0" collapsed="false">
      <c r="A276" s="39" t="s">
        <v>38</v>
      </c>
      <c r="B276" s="39" t="s">
        <v>27</v>
      </c>
      <c r="C276" s="39" t="s">
        <v>59</v>
      </c>
      <c r="D276" s="39" t="s">
        <v>54</v>
      </c>
      <c r="E276" s="40" t="n">
        <v>366</v>
      </c>
      <c r="F276" s="40" t="n">
        <v>500</v>
      </c>
      <c r="G276" s="41" t="n">
        <v>183000</v>
      </c>
      <c r="H276" s="41" t="n">
        <v>992348</v>
      </c>
      <c r="I276" s="42" t="n">
        <v>0.184411113843128</v>
      </c>
      <c r="J276" s="41" t="n">
        <v>125334</v>
      </c>
      <c r="K276" s="41" t="n">
        <v>57666</v>
      </c>
    </row>
    <row r="277" customFormat="false" ht="15" hidden="false" customHeight="false" outlineLevel="0" collapsed="false">
      <c r="A277" s="43" t="s">
        <v>38</v>
      </c>
      <c r="B277" s="43" t="s">
        <v>27</v>
      </c>
      <c r="C277" s="43" t="s">
        <v>59</v>
      </c>
      <c r="D277" s="43" t="s">
        <v>55</v>
      </c>
      <c r="E277" s="44" t="n">
        <v>166</v>
      </c>
      <c r="F277" s="44" t="n">
        <v>500</v>
      </c>
      <c r="G277" s="45" t="n">
        <v>83000</v>
      </c>
      <c r="H277" s="45" t="n">
        <v>1410104</v>
      </c>
      <c r="I277" s="46" t="n">
        <v>0.0588609067132637</v>
      </c>
      <c r="J277" s="45" t="n">
        <v>75806</v>
      </c>
      <c r="K277" s="45" t="n">
        <v>7194</v>
      </c>
    </row>
    <row r="278" customFormat="false" ht="15" hidden="false" customHeight="false" outlineLevel="0" collapsed="false">
      <c r="A278" s="39" t="s">
        <v>38</v>
      </c>
      <c r="B278" s="39" t="s">
        <v>27</v>
      </c>
      <c r="C278" s="39" t="s">
        <v>60</v>
      </c>
      <c r="D278" s="39" t="s">
        <v>52</v>
      </c>
      <c r="E278" s="40" t="n">
        <v>374</v>
      </c>
      <c r="F278" s="40" t="n">
        <v>500</v>
      </c>
      <c r="G278" s="41" t="n">
        <v>187000</v>
      </c>
      <c r="H278" s="41" t="n">
        <v>1430461</v>
      </c>
      <c r="I278" s="42" t="n">
        <v>0.130727087281653</v>
      </c>
      <c r="J278" s="41" t="n">
        <v>93611</v>
      </c>
      <c r="K278" s="41" t="n">
        <v>93389</v>
      </c>
    </row>
    <row r="279" customFormat="false" ht="15" hidden="false" customHeight="false" outlineLevel="0" collapsed="false">
      <c r="A279" s="43" t="s">
        <v>38</v>
      </c>
      <c r="B279" s="43" t="s">
        <v>27</v>
      </c>
      <c r="C279" s="43" t="s">
        <v>60</v>
      </c>
      <c r="D279" s="43" t="s">
        <v>53</v>
      </c>
      <c r="E279" s="44" t="n">
        <v>203</v>
      </c>
      <c r="F279" s="44" t="n">
        <v>500</v>
      </c>
      <c r="G279" s="45" t="n">
        <v>101500</v>
      </c>
      <c r="H279" s="45" t="n">
        <v>596450</v>
      </c>
      <c r="I279" s="46" t="n">
        <v>0.17017352669964</v>
      </c>
      <c r="J279" s="45" t="n">
        <v>135032</v>
      </c>
      <c r="K279" s="45" t="n">
        <v>-33532</v>
      </c>
    </row>
    <row r="280" customFormat="false" ht="15" hidden="false" customHeight="false" outlineLevel="0" collapsed="false">
      <c r="A280" s="39" t="s">
        <v>38</v>
      </c>
      <c r="B280" s="39" t="s">
        <v>27</v>
      </c>
      <c r="C280" s="39" t="s">
        <v>60</v>
      </c>
      <c r="D280" s="39" t="s">
        <v>54</v>
      </c>
      <c r="E280" s="40" t="n">
        <v>78</v>
      </c>
      <c r="F280" s="40" t="n">
        <v>1499</v>
      </c>
      <c r="G280" s="41" t="n">
        <v>116922</v>
      </c>
      <c r="H280" s="41" t="n">
        <v>1251752</v>
      </c>
      <c r="I280" s="42" t="n">
        <v>0.0934066811956362</v>
      </c>
      <c r="J280" s="41" t="n">
        <v>148262</v>
      </c>
      <c r="K280" s="41" t="n">
        <v>-31340</v>
      </c>
    </row>
    <row r="281" customFormat="false" ht="15" hidden="false" customHeight="false" outlineLevel="0" collapsed="false">
      <c r="A281" s="43" t="s">
        <v>38</v>
      </c>
      <c r="B281" s="43" t="s">
        <v>27</v>
      </c>
      <c r="C281" s="43" t="s">
        <v>60</v>
      </c>
      <c r="D281" s="43" t="s">
        <v>55</v>
      </c>
      <c r="E281" s="44" t="n">
        <v>270</v>
      </c>
      <c r="F281" s="44" t="n">
        <v>999</v>
      </c>
      <c r="G281" s="45" t="n">
        <v>269730</v>
      </c>
      <c r="H281" s="45" t="n">
        <v>1012119</v>
      </c>
      <c r="I281" s="46" t="n">
        <v>0.266500283069481</v>
      </c>
      <c r="J281" s="45" t="n">
        <v>189242</v>
      </c>
      <c r="K281" s="45" t="n">
        <v>80488</v>
      </c>
    </row>
    <row r="282" customFormat="false" ht="15" hidden="false" customHeight="false" outlineLevel="0" collapsed="false">
      <c r="A282" s="39" t="s">
        <v>38</v>
      </c>
      <c r="B282" s="39" t="s">
        <v>33</v>
      </c>
      <c r="C282" s="39" t="s">
        <v>61</v>
      </c>
      <c r="D282" s="39" t="s">
        <v>52</v>
      </c>
      <c r="E282" s="40" t="n">
        <v>260</v>
      </c>
      <c r="F282" s="40" t="n">
        <v>4999</v>
      </c>
      <c r="G282" s="41" t="n">
        <v>1299740</v>
      </c>
      <c r="H282" s="41" t="n">
        <v>1929839</v>
      </c>
      <c r="I282" s="42" t="n">
        <v>0.673496597384549</v>
      </c>
      <c r="J282" s="41" t="n">
        <v>97200</v>
      </c>
      <c r="K282" s="41" t="n">
        <v>1202540</v>
      </c>
    </row>
    <row r="283" customFormat="false" ht="15" hidden="false" customHeight="false" outlineLevel="0" collapsed="false">
      <c r="A283" s="43" t="s">
        <v>38</v>
      </c>
      <c r="B283" s="43" t="s">
        <v>33</v>
      </c>
      <c r="C283" s="43" t="s">
        <v>61</v>
      </c>
      <c r="D283" s="43" t="s">
        <v>53</v>
      </c>
      <c r="E283" s="44" t="n">
        <v>137</v>
      </c>
      <c r="F283" s="44" t="n">
        <v>999</v>
      </c>
      <c r="G283" s="45" t="n">
        <v>136863</v>
      </c>
      <c r="H283" s="45" t="n">
        <v>665608</v>
      </c>
      <c r="I283" s="46" t="n">
        <v>0.205621026189589</v>
      </c>
      <c r="J283" s="45" t="n">
        <v>150281</v>
      </c>
      <c r="K283" s="45" t="n">
        <v>-13418</v>
      </c>
    </row>
    <row r="284" customFormat="false" ht="15" hidden="false" customHeight="false" outlineLevel="0" collapsed="false">
      <c r="A284" s="39" t="s">
        <v>38</v>
      </c>
      <c r="B284" s="39" t="s">
        <v>33</v>
      </c>
      <c r="C284" s="39" t="s">
        <v>61</v>
      </c>
      <c r="D284" s="39" t="s">
        <v>54</v>
      </c>
      <c r="E284" s="40" t="n">
        <v>367</v>
      </c>
      <c r="F284" s="40" t="n">
        <v>999</v>
      </c>
      <c r="G284" s="41" t="n">
        <v>366633</v>
      </c>
      <c r="H284" s="41" t="n">
        <v>1543683</v>
      </c>
      <c r="I284" s="42" t="n">
        <v>0.237505368654057</v>
      </c>
      <c r="J284" s="41" t="n">
        <v>87517</v>
      </c>
      <c r="K284" s="41" t="n">
        <v>279116</v>
      </c>
    </row>
    <row r="285" customFormat="false" ht="15" hidden="false" customHeight="false" outlineLevel="0" collapsed="false">
      <c r="A285" s="43" t="s">
        <v>38</v>
      </c>
      <c r="B285" s="43" t="s">
        <v>33</v>
      </c>
      <c r="C285" s="43" t="s">
        <v>61</v>
      </c>
      <c r="D285" s="43" t="s">
        <v>55</v>
      </c>
      <c r="E285" s="44" t="n">
        <v>168</v>
      </c>
      <c r="F285" s="44" t="n">
        <v>2499</v>
      </c>
      <c r="G285" s="45" t="n">
        <v>419832</v>
      </c>
      <c r="H285" s="45" t="n">
        <v>1837782</v>
      </c>
      <c r="I285" s="46" t="n">
        <v>0.228444940694816</v>
      </c>
      <c r="J285" s="45" t="n">
        <v>116578</v>
      </c>
      <c r="K285" s="45" t="n">
        <v>303254</v>
      </c>
    </row>
    <row r="286" customFormat="false" ht="15" hidden="false" customHeight="false" outlineLevel="0" collapsed="false">
      <c r="A286" s="39" t="s">
        <v>38</v>
      </c>
      <c r="B286" s="39" t="s">
        <v>33</v>
      </c>
      <c r="C286" s="39" t="s">
        <v>62</v>
      </c>
      <c r="D286" s="39" t="s">
        <v>52</v>
      </c>
      <c r="E286" s="40" t="n">
        <v>285</v>
      </c>
      <c r="F286" s="40" t="n">
        <v>1499</v>
      </c>
      <c r="G286" s="41" t="n">
        <v>427215</v>
      </c>
      <c r="H286" s="41" t="n">
        <v>1898466</v>
      </c>
      <c r="I286" s="42" t="n">
        <v>0.225031683474974</v>
      </c>
      <c r="J286" s="41" t="n">
        <v>52463</v>
      </c>
      <c r="K286" s="41" t="n">
        <v>374752</v>
      </c>
    </row>
    <row r="287" customFormat="false" ht="15" hidden="false" customHeight="false" outlineLevel="0" collapsed="false">
      <c r="A287" s="43" t="s">
        <v>38</v>
      </c>
      <c r="B287" s="43" t="s">
        <v>33</v>
      </c>
      <c r="C287" s="43" t="s">
        <v>62</v>
      </c>
      <c r="D287" s="43" t="s">
        <v>53</v>
      </c>
      <c r="E287" s="44" t="n">
        <v>288</v>
      </c>
      <c r="F287" s="44" t="n">
        <v>1499</v>
      </c>
      <c r="G287" s="45" t="n">
        <v>431712</v>
      </c>
      <c r="H287" s="45" t="n">
        <v>1921053</v>
      </c>
      <c r="I287" s="46" t="n">
        <v>0.224726751422267</v>
      </c>
      <c r="J287" s="45" t="n">
        <v>193287</v>
      </c>
      <c r="K287" s="45" t="n">
        <v>238425</v>
      </c>
    </row>
    <row r="288" customFormat="false" ht="15" hidden="false" customHeight="false" outlineLevel="0" collapsed="false">
      <c r="A288" s="39" t="s">
        <v>38</v>
      </c>
      <c r="B288" s="39" t="s">
        <v>33</v>
      </c>
      <c r="C288" s="39" t="s">
        <v>62</v>
      </c>
      <c r="D288" s="39" t="s">
        <v>54</v>
      </c>
      <c r="E288" s="40" t="n">
        <v>130</v>
      </c>
      <c r="F288" s="40" t="n">
        <v>500</v>
      </c>
      <c r="G288" s="41" t="n">
        <v>65000</v>
      </c>
      <c r="H288" s="41" t="n">
        <v>1426374</v>
      </c>
      <c r="I288" s="42" t="n">
        <v>0.0455700959215465</v>
      </c>
      <c r="J288" s="41" t="n">
        <v>140587</v>
      </c>
      <c r="K288" s="41" t="n">
        <v>-75587</v>
      </c>
    </row>
    <row r="289" customFormat="false" ht="15" hidden="false" customHeight="false" outlineLevel="0" collapsed="false">
      <c r="A289" s="43" t="s">
        <v>38</v>
      </c>
      <c r="B289" s="43" t="s">
        <v>33</v>
      </c>
      <c r="C289" s="43" t="s">
        <v>62</v>
      </c>
      <c r="D289" s="43" t="s">
        <v>55</v>
      </c>
      <c r="E289" s="44" t="n">
        <v>350</v>
      </c>
      <c r="F289" s="44" t="n">
        <v>1499</v>
      </c>
      <c r="G289" s="45" t="n">
        <v>524650</v>
      </c>
      <c r="H289" s="45" t="n">
        <v>1839951</v>
      </c>
      <c r="I289" s="46" t="n">
        <v>0.285143463059614</v>
      </c>
      <c r="J289" s="45" t="n">
        <v>161230</v>
      </c>
      <c r="K289" s="45" t="n">
        <v>363420</v>
      </c>
    </row>
    <row r="290" customFormat="false" ht="15" hidden="false" customHeight="false" outlineLevel="0" collapsed="false">
      <c r="A290" s="39" t="s">
        <v>39</v>
      </c>
      <c r="B290" s="39" t="s">
        <v>29</v>
      </c>
      <c r="C290" s="39" t="s">
        <v>51</v>
      </c>
      <c r="D290" s="39" t="s">
        <v>52</v>
      </c>
      <c r="E290" s="40" t="n">
        <v>178</v>
      </c>
      <c r="F290" s="40" t="n">
        <v>2499</v>
      </c>
      <c r="G290" s="41" t="n">
        <v>444822</v>
      </c>
      <c r="H290" s="41" t="n">
        <v>1133595</v>
      </c>
      <c r="I290" s="42" t="n">
        <v>0.392399401902796</v>
      </c>
      <c r="J290" s="41" t="n">
        <v>102223</v>
      </c>
      <c r="K290" s="41" t="n">
        <v>342599</v>
      </c>
    </row>
    <row r="291" customFormat="false" ht="15" hidden="false" customHeight="false" outlineLevel="0" collapsed="false">
      <c r="A291" s="43" t="s">
        <v>39</v>
      </c>
      <c r="B291" s="43" t="s">
        <v>29</v>
      </c>
      <c r="C291" s="43" t="s">
        <v>51</v>
      </c>
      <c r="D291" s="43" t="s">
        <v>53</v>
      </c>
      <c r="E291" s="44" t="n">
        <v>246</v>
      </c>
      <c r="F291" s="44" t="n">
        <v>2499</v>
      </c>
      <c r="G291" s="45" t="n">
        <v>614754</v>
      </c>
      <c r="H291" s="45" t="n">
        <v>723668</v>
      </c>
      <c r="I291" s="46" t="n">
        <v>0.8494972832846</v>
      </c>
      <c r="J291" s="45" t="n">
        <v>112182</v>
      </c>
      <c r="K291" s="45" t="n">
        <v>502572</v>
      </c>
    </row>
    <row r="292" customFormat="false" ht="15" hidden="false" customHeight="false" outlineLevel="0" collapsed="false">
      <c r="A292" s="39" t="s">
        <v>39</v>
      </c>
      <c r="B292" s="39" t="s">
        <v>29</v>
      </c>
      <c r="C292" s="39" t="s">
        <v>51</v>
      </c>
      <c r="D292" s="39" t="s">
        <v>54</v>
      </c>
      <c r="E292" s="40" t="n">
        <v>245</v>
      </c>
      <c r="F292" s="40" t="n">
        <v>4999</v>
      </c>
      <c r="G292" s="41" t="n">
        <v>1224755</v>
      </c>
      <c r="H292" s="41" t="n">
        <v>1252791</v>
      </c>
      <c r="I292" s="42" t="n">
        <v>0.977621167457301</v>
      </c>
      <c r="J292" s="41" t="n">
        <v>127561</v>
      </c>
      <c r="K292" s="41" t="n">
        <v>1097194</v>
      </c>
    </row>
    <row r="293" customFormat="false" ht="15" hidden="false" customHeight="false" outlineLevel="0" collapsed="false">
      <c r="A293" s="43" t="s">
        <v>39</v>
      </c>
      <c r="B293" s="43" t="s">
        <v>29</v>
      </c>
      <c r="C293" s="43" t="s">
        <v>51</v>
      </c>
      <c r="D293" s="43" t="s">
        <v>55</v>
      </c>
      <c r="E293" s="44" t="n">
        <v>201</v>
      </c>
      <c r="F293" s="44" t="n">
        <v>500</v>
      </c>
      <c r="G293" s="45" t="n">
        <v>100500</v>
      </c>
      <c r="H293" s="45" t="n">
        <v>1880407</v>
      </c>
      <c r="I293" s="46" t="n">
        <v>0.0534458763448551</v>
      </c>
      <c r="J293" s="45" t="n">
        <v>153758</v>
      </c>
      <c r="K293" s="45" t="n">
        <v>-53258</v>
      </c>
    </row>
    <row r="294" customFormat="false" ht="15" hidden="false" customHeight="false" outlineLevel="0" collapsed="false">
      <c r="A294" s="39" t="s">
        <v>39</v>
      </c>
      <c r="B294" s="39" t="s">
        <v>29</v>
      </c>
      <c r="C294" s="39" t="s">
        <v>56</v>
      </c>
      <c r="D294" s="39" t="s">
        <v>52</v>
      </c>
      <c r="E294" s="40" t="n">
        <v>190</v>
      </c>
      <c r="F294" s="40" t="n">
        <v>500</v>
      </c>
      <c r="G294" s="41" t="n">
        <v>95000</v>
      </c>
      <c r="H294" s="41" t="n">
        <v>1686839</v>
      </c>
      <c r="I294" s="42" t="n">
        <v>0.0563183564050867</v>
      </c>
      <c r="J294" s="41" t="n">
        <v>62856</v>
      </c>
      <c r="K294" s="41" t="n">
        <v>32144</v>
      </c>
    </row>
    <row r="295" customFormat="false" ht="15" hidden="false" customHeight="false" outlineLevel="0" collapsed="false">
      <c r="A295" s="43" t="s">
        <v>39</v>
      </c>
      <c r="B295" s="43" t="s">
        <v>29</v>
      </c>
      <c r="C295" s="43" t="s">
        <v>56</v>
      </c>
      <c r="D295" s="43" t="s">
        <v>53</v>
      </c>
      <c r="E295" s="44" t="n">
        <v>360</v>
      </c>
      <c r="F295" s="44" t="n">
        <v>2499</v>
      </c>
      <c r="G295" s="45" t="n">
        <v>899640</v>
      </c>
      <c r="H295" s="45" t="n">
        <v>1100192</v>
      </c>
      <c r="I295" s="46" t="n">
        <v>0.81771181757366</v>
      </c>
      <c r="J295" s="45" t="n">
        <v>110324</v>
      </c>
      <c r="K295" s="45" t="n">
        <v>789316</v>
      </c>
    </row>
    <row r="296" customFormat="false" ht="15" hidden="false" customHeight="false" outlineLevel="0" collapsed="false">
      <c r="A296" s="39" t="s">
        <v>39</v>
      </c>
      <c r="B296" s="39" t="s">
        <v>29</v>
      </c>
      <c r="C296" s="39" t="s">
        <v>56</v>
      </c>
      <c r="D296" s="39" t="s">
        <v>54</v>
      </c>
      <c r="E296" s="40" t="n">
        <v>360</v>
      </c>
      <c r="F296" s="40" t="n">
        <v>1499</v>
      </c>
      <c r="G296" s="41" t="n">
        <v>539640</v>
      </c>
      <c r="H296" s="41" t="n">
        <v>959285</v>
      </c>
      <c r="I296" s="42" t="n">
        <v>0.562543978066998</v>
      </c>
      <c r="J296" s="41" t="n">
        <v>99841</v>
      </c>
      <c r="K296" s="41" t="n">
        <v>439799</v>
      </c>
    </row>
    <row r="297" customFormat="false" ht="15" hidden="false" customHeight="false" outlineLevel="0" collapsed="false">
      <c r="A297" s="43" t="s">
        <v>39</v>
      </c>
      <c r="B297" s="43" t="s">
        <v>29</v>
      </c>
      <c r="C297" s="43" t="s">
        <v>56</v>
      </c>
      <c r="D297" s="43" t="s">
        <v>55</v>
      </c>
      <c r="E297" s="44" t="n">
        <v>367</v>
      </c>
      <c r="F297" s="44" t="n">
        <v>1499</v>
      </c>
      <c r="G297" s="45" t="n">
        <v>550133</v>
      </c>
      <c r="H297" s="45" t="n">
        <v>1921375</v>
      </c>
      <c r="I297" s="46" t="n">
        <v>0.286322555461584</v>
      </c>
      <c r="J297" s="45" t="n">
        <v>85855</v>
      </c>
      <c r="K297" s="45" t="n">
        <v>464278</v>
      </c>
    </row>
    <row r="298" customFormat="false" ht="15" hidden="false" customHeight="false" outlineLevel="0" collapsed="false">
      <c r="A298" s="39" t="s">
        <v>39</v>
      </c>
      <c r="B298" s="39" t="s">
        <v>31</v>
      </c>
      <c r="C298" s="39" t="s">
        <v>57</v>
      </c>
      <c r="D298" s="39" t="s">
        <v>52</v>
      </c>
      <c r="E298" s="40" t="n">
        <v>371</v>
      </c>
      <c r="F298" s="40" t="n">
        <v>500</v>
      </c>
      <c r="G298" s="41" t="n">
        <v>185500</v>
      </c>
      <c r="H298" s="41" t="n">
        <v>1815875</v>
      </c>
      <c r="I298" s="42" t="n">
        <v>0.102154608659737</v>
      </c>
      <c r="J298" s="41" t="n">
        <v>60334</v>
      </c>
      <c r="K298" s="41" t="n">
        <v>125166</v>
      </c>
    </row>
    <row r="299" customFormat="false" ht="15" hidden="false" customHeight="false" outlineLevel="0" collapsed="false">
      <c r="A299" s="43" t="s">
        <v>39</v>
      </c>
      <c r="B299" s="43" t="s">
        <v>31</v>
      </c>
      <c r="C299" s="43" t="s">
        <v>57</v>
      </c>
      <c r="D299" s="43" t="s">
        <v>53</v>
      </c>
      <c r="E299" s="44" t="n">
        <v>208</v>
      </c>
      <c r="F299" s="44" t="n">
        <v>2499</v>
      </c>
      <c r="G299" s="45" t="n">
        <v>519792</v>
      </c>
      <c r="H299" s="45" t="n">
        <v>569970</v>
      </c>
      <c r="I299" s="46" t="n">
        <v>0.911963787567767</v>
      </c>
      <c r="J299" s="45" t="n">
        <v>145646</v>
      </c>
      <c r="K299" s="45" t="n">
        <v>374146</v>
      </c>
    </row>
    <row r="300" customFormat="false" ht="15" hidden="false" customHeight="false" outlineLevel="0" collapsed="false">
      <c r="A300" s="39" t="s">
        <v>39</v>
      </c>
      <c r="B300" s="39" t="s">
        <v>31</v>
      </c>
      <c r="C300" s="39" t="s">
        <v>57</v>
      </c>
      <c r="D300" s="39" t="s">
        <v>54</v>
      </c>
      <c r="E300" s="40" t="n">
        <v>117</v>
      </c>
      <c r="F300" s="40" t="n">
        <v>500</v>
      </c>
      <c r="G300" s="41" t="n">
        <v>58500</v>
      </c>
      <c r="H300" s="41" t="n">
        <v>1118891</v>
      </c>
      <c r="I300" s="42" t="n">
        <v>0.052283913267691</v>
      </c>
      <c r="J300" s="41" t="n">
        <v>135647</v>
      </c>
      <c r="K300" s="41" t="n">
        <v>-77147</v>
      </c>
    </row>
    <row r="301" customFormat="false" ht="15" hidden="false" customHeight="false" outlineLevel="0" collapsed="false">
      <c r="A301" s="43" t="s">
        <v>39</v>
      </c>
      <c r="B301" s="43" t="s">
        <v>31</v>
      </c>
      <c r="C301" s="43" t="s">
        <v>57</v>
      </c>
      <c r="D301" s="43" t="s">
        <v>55</v>
      </c>
      <c r="E301" s="44" t="n">
        <v>262</v>
      </c>
      <c r="F301" s="44" t="n">
        <v>999</v>
      </c>
      <c r="G301" s="45" t="n">
        <v>261738</v>
      </c>
      <c r="H301" s="45" t="n">
        <v>921097</v>
      </c>
      <c r="I301" s="46" t="n">
        <v>0.284158997369441</v>
      </c>
      <c r="J301" s="45" t="n">
        <v>84644</v>
      </c>
      <c r="K301" s="45" t="n">
        <v>177094</v>
      </c>
    </row>
    <row r="302" customFormat="false" ht="15" hidden="false" customHeight="false" outlineLevel="0" collapsed="false">
      <c r="A302" s="39" t="s">
        <v>39</v>
      </c>
      <c r="B302" s="39" t="s">
        <v>31</v>
      </c>
      <c r="C302" s="39" t="s">
        <v>58</v>
      </c>
      <c r="D302" s="39" t="s">
        <v>52</v>
      </c>
      <c r="E302" s="40" t="n">
        <v>326</v>
      </c>
      <c r="F302" s="40" t="n">
        <v>1499</v>
      </c>
      <c r="G302" s="41" t="n">
        <v>488674</v>
      </c>
      <c r="H302" s="41" t="n">
        <v>1613278</v>
      </c>
      <c r="I302" s="42" t="n">
        <v>0.302907496414133</v>
      </c>
      <c r="J302" s="41" t="n">
        <v>181542</v>
      </c>
      <c r="K302" s="41" t="n">
        <v>307132</v>
      </c>
    </row>
    <row r="303" customFormat="false" ht="15" hidden="false" customHeight="false" outlineLevel="0" collapsed="false">
      <c r="A303" s="43" t="s">
        <v>39</v>
      </c>
      <c r="B303" s="43" t="s">
        <v>31</v>
      </c>
      <c r="C303" s="43" t="s">
        <v>58</v>
      </c>
      <c r="D303" s="43" t="s">
        <v>53</v>
      </c>
      <c r="E303" s="44" t="n">
        <v>189</v>
      </c>
      <c r="F303" s="44" t="n">
        <v>999</v>
      </c>
      <c r="G303" s="45" t="n">
        <v>188811</v>
      </c>
      <c r="H303" s="45" t="n">
        <v>1038905</v>
      </c>
      <c r="I303" s="46" t="n">
        <v>0.181740390122292</v>
      </c>
      <c r="J303" s="45" t="n">
        <v>176313</v>
      </c>
      <c r="K303" s="45" t="n">
        <v>12498</v>
      </c>
    </row>
    <row r="304" customFormat="false" ht="15" hidden="false" customHeight="false" outlineLevel="0" collapsed="false">
      <c r="A304" s="39" t="s">
        <v>39</v>
      </c>
      <c r="B304" s="39" t="s">
        <v>31</v>
      </c>
      <c r="C304" s="39" t="s">
        <v>58</v>
      </c>
      <c r="D304" s="39" t="s">
        <v>54</v>
      </c>
      <c r="E304" s="40" t="n">
        <v>201</v>
      </c>
      <c r="F304" s="40" t="n">
        <v>1499</v>
      </c>
      <c r="G304" s="41" t="n">
        <v>301299</v>
      </c>
      <c r="H304" s="41" t="n">
        <v>741528</v>
      </c>
      <c r="I304" s="42" t="n">
        <v>0.406321811179079</v>
      </c>
      <c r="J304" s="41" t="n">
        <v>172770</v>
      </c>
      <c r="K304" s="41" t="n">
        <v>128529</v>
      </c>
    </row>
    <row r="305" customFormat="false" ht="15" hidden="false" customHeight="false" outlineLevel="0" collapsed="false">
      <c r="A305" s="43" t="s">
        <v>39</v>
      </c>
      <c r="B305" s="43" t="s">
        <v>31</v>
      </c>
      <c r="C305" s="43" t="s">
        <v>58</v>
      </c>
      <c r="D305" s="43" t="s">
        <v>55</v>
      </c>
      <c r="E305" s="44" t="n">
        <v>88</v>
      </c>
      <c r="F305" s="44" t="n">
        <v>999</v>
      </c>
      <c r="G305" s="45" t="n">
        <v>87912</v>
      </c>
      <c r="H305" s="45" t="n">
        <v>973148</v>
      </c>
      <c r="I305" s="46" t="n">
        <v>0.090337749242664</v>
      </c>
      <c r="J305" s="45" t="n">
        <v>154179</v>
      </c>
      <c r="K305" s="45" t="n">
        <v>-66267</v>
      </c>
    </row>
    <row r="306" customFormat="false" ht="15" hidden="false" customHeight="false" outlineLevel="0" collapsed="false">
      <c r="A306" s="39" t="s">
        <v>39</v>
      </c>
      <c r="B306" s="39" t="s">
        <v>27</v>
      </c>
      <c r="C306" s="39" t="s">
        <v>59</v>
      </c>
      <c r="D306" s="39" t="s">
        <v>52</v>
      </c>
      <c r="E306" s="40" t="n">
        <v>335</v>
      </c>
      <c r="F306" s="40" t="n">
        <v>1499</v>
      </c>
      <c r="G306" s="41" t="n">
        <v>502165</v>
      </c>
      <c r="H306" s="41" t="n">
        <v>689378</v>
      </c>
      <c r="I306" s="42" t="n">
        <v>0.728432006823542</v>
      </c>
      <c r="J306" s="41" t="n">
        <v>153435</v>
      </c>
      <c r="K306" s="41" t="n">
        <v>348730</v>
      </c>
    </row>
    <row r="307" customFormat="false" ht="15" hidden="false" customHeight="false" outlineLevel="0" collapsed="false">
      <c r="A307" s="43" t="s">
        <v>39</v>
      </c>
      <c r="B307" s="43" t="s">
        <v>27</v>
      </c>
      <c r="C307" s="43" t="s">
        <v>59</v>
      </c>
      <c r="D307" s="43" t="s">
        <v>53</v>
      </c>
      <c r="E307" s="44" t="n">
        <v>57</v>
      </c>
      <c r="F307" s="44" t="n">
        <v>1499</v>
      </c>
      <c r="G307" s="45" t="n">
        <v>85443</v>
      </c>
      <c r="H307" s="45" t="n">
        <v>1625273</v>
      </c>
      <c r="I307" s="46" t="n">
        <v>0.0525714756843927</v>
      </c>
      <c r="J307" s="45" t="n">
        <v>82398</v>
      </c>
      <c r="K307" s="45" t="n">
        <v>3045</v>
      </c>
    </row>
    <row r="308" customFormat="false" ht="15" hidden="false" customHeight="false" outlineLevel="0" collapsed="false">
      <c r="A308" s="39" t="s">
        <v>39</v>
      </c>
      <c r="B308" s="39" t="s">
        <v>27</v>
      </c>
      <c r="C308" s="39" t="s">
        <v>59</v>
      </c>
      <c r="D308" s="39" t="s">
        <v>54</v>
      </c>
      <c r="E308" s="40" t="n">
        <v>282</v>
      </c>
      <c r="F308" s="40" t="n">
        <v>1499</v>
      </c>
      <c r="G308" s="41" t="n">
        <v>422718</v>
      </c>
      <c r="H308" s="41" t="n">
        <v>1911023</v>
      </c>
      <c r="I308" s="42" t="n">
        <v>0.221199849504689</v>
      </c>
      <c r="J308" s="41" t="n">
        <v>118724</v>
      </c>
      <c r="K308" s="41" t="n">
        <v>303994</v>
      </c>
    </row>
    <row r="309" customFormat="false" ht="15" hidden="false" customHeight="false" outlineLevel="0" collapsed="false">
      <c r="A309" s="43" t="s">
        <v>39</v>
      </c>
      <c r="B309" s="43" t="s">
        <v>27</v>
      </c>
      <c r="C309" s="43" t="s">
        <v>59</v>
      </c>
      <c r="D309" s="43" t="s">
        <v>55</v>
      </c>
      <c r="E309" s="44" t="n">
        <v>349</v>
      </c>
      <c r="F309" s="44" t="n">
        <v>2499</v>
      </c>
      <c r="G309" s="45" t="n">
        <v>872151</v>
      </c>
      <c r="H309" s="45" t="n">
        <v>1839134</v>
      </c>
      <c r="I309" s="46" t="n">
        <v>0.474218300569725</v>
      </c>
      <c r="J309" s="45" t="n">
        <v>147379</v>
      </c>
      <c r="K309" s="45" t="n">
        <v>724772</v>
      </c>
    </row>
    <row r="310" customFormat="false" ht="15" hidden="false" customHeight="false" outlineLevel="0" collapsed="false">
      <c r="A310" s="39" t="s">
        <v>39</v>
      </c>
      <c r="B310" s="39" t="s">
        <v>27</v>
      </c>
      <c r="C310" s="39" t="s">
        <v>60</v>
      </c>
      <c r="D310" s="39" t="s">
        <v>52</v>
      </c>
      <c r="E310" s="40" t="n">
        <v>105</v>
      </c>
      <c r="F310" s="40" t="n">
        <v>999</v>
      </c>
      <c r="G310" s="41" t="n">
        <v>104895</v>
      </c>
      <c r="H310" s="41" t="n">
        <v>1488758</v>
      </c>
      <c r="I310" s="42" t="n">
        <v>0.0704580596712159</v>
      </c>
      <c r="J310" s="41" t="n">
        <v>56560</v>
      </c>
      <c r="K310" s="41" t="n">
        <v>48335</v>
      </c>
    </row>
    <row r="311" customFormat="false" ht="15" hidden="false" customHeight="false" outlineLevel="0" collapsed="false">
      <c r="A311" s="43" t="s">
        <v>39</v>
      </c>
      <c r="B311" s="43" t="s">
        <v>27</v>
      </c>
      <c r="C311" s="43" t="s">
        <v>60</v>
      </c>
      <c r="D311" s="43" t="s">
        <v>53</v>
      </c>
      <c r="E311" s="44" t="n">
        <v>367</v>
      </c>
      <c r="F311" s="44" t="n">
        <v>4999</v>
      </c>
      <c r="G311" s="45" t="n">
        <v>1834633</v>
      </c>
      <c r="H311" s="45" t="n">
        <v>1187879</v>
      </c>
      <c r="I311" s="46" t="n">
        <v>1.54446117828499</v>
      </c>
      <c r="J311" s="45" t="n">
        <v>108030</v>
      </c>
      <c r="K311" s="45" t="n">
        <v>1726603</v>
      </c>
    </row>
    <row r="312" customFormat="false" ht="15" hidden="false" customHeight="false" outlineLevel="0" collapsed="false">
      <c r="A312" s="39" t="s">
        <v>39</v>
      </c>
      <c r="B312" s="39" t="s">
        <v>27</v>
      </c>
      <c r="C312" s="39" t="s">
        <v>60</v>
      </c>
      <c r="D312" s="39" t="s">
        <v>54</v>
      </c>
      <c r="E312" s="40" t="n">
        <v>381</v>
      </c>
      <c r="F312" s="40" t="n">
        <v>500</v>
      </c>
      <c r="G312" s="41" t="n">
        <v>190500</v>
      </c>
      <c r="H312" s="41" t="n">
        <v>1832538</v>
      </c>
      <c r="I312" s="42" t="n">
        <v>0.103954188125976</v>
      </c>
      <c r="J312" s="41" t="n">
        <v>171704</v>
      </c>
      <c r="K312" s="41" t="n">
        <v>18796</v>
      </c>
    </row>
    <row r="313" customFormat="false" ht="15" hidden="false" customHeight="false" outlineLevel="0" collapsed="false">
      <c r="A313" s="43" t="s">
        <v>39</v>
      </c>
      <c r="B313" s="43" t="s">
        <v>27</v>
      </c>
      <c r="C313" s="43" t="s">
        <v>60</v>
      </c>
      <c r="D313" s="43" t="s">
        <v>55</v>
      </c>
      <c r="E313" s="44" t="n">
        <v>204</v>
      </c>
      <c r="F313" s="44" t="n">
        <v>2499</v>
      </c>
      <c r="G313" s="45" t="n">
        <v>509796</v>
      </c>
      <c r="H313" s="45" t="n">
        <v>744687</v>
      </c>
      <c r="I313" s="46" t="n">
        <v>0.684577547345395</v>
      </c>
      <c r="J313" s="45" t="n">
        <v>86641</v>
      </c>
      <c r="K313" s="45" t="n">
        <v>423155</v>
      </c>
    </row>
    <row r="314" customFormat="false" ht="15" hidden="false" customHeight="false" outlineLevel="0" collapsed="false">
      <c r="A314" s="39" t="s">
        <v>39</v>
      </c>
      <c r="B314" s="39" t="s">
        <v>33</v>
      </c>
      <c r="C314" s="39" t="s">
        <v>61</v>
      </c>
      <c r="D314" s="39" t="s">
        <v>52</v>
      </c>
      <c r="E314" s="40" t="n">
        <v>73</v>
      </c>
      <c r="F314" s="40" t="n">
        <v>500</v>
      </c>
      <c r="G314" s="41" t="n">
        <v>36500</v>
      </c>
      <c r="H314" s="41" t="n">
        <v>1138298</v>
      </c>
      <c r="I314" s="42" t="n">
        <v>0.0320654169646261</v>
      </c>
      <c r="J314" s="41" t="n">
        <v>179138</v>
      </c>
      <c r="K314" s="41" t="n">
        <v>-142638</v>
      </c>
    </row>
    <row r="315" customFormat="false" ht="15" hidden="false" customHeight="false" outlineLevel="0" collapsed="false">
      <c r="A315" s="43" t="s">
        <v>39</v>
      </c>
      <c r="B315" s="43" t="s">
        <v>33</v>
      </c>
      <c r="C315" s="43" t="s">
        <v>61</v>
      </c>
      <c r="D315" s="43" t="s">
        <v>53</v>
      </c>
      <c r="E315" s="44" t="n">
        <v>109</v>
      </c>
      <c r="F315" s="44" t="n">
        <v>500</v>
      </c>
      <c r="G315" s="45" t="n">
        <v>54500</v>
      </c>
      <c r="H315" s="45" t="n">
        <v>992411</v>
      </c>
      <c r="I315" s="46" t="n">
        <v>0.0549167633168113</v>
      </c>
      <c r="J315" s="45" t="n">
        <v>190914</v>
      </c>
      <c r="K315" s="45" t="n">
        <v>-136414</v>
      </c>
    </row>
    <row r="316" customFormat="false" ht="15" hidden="false" customHeight="false" outlineLevel="0" collapsed="false">
      <c r="A316" s="39" t="s">
        <v>39</v>
      </c>
      <c r="B316" s="39" t="s">
        <v>33</v>
      </c>
      <c r="C316" s="39" t="s">
        <v>61</v>
      </c>
      <c r="D316" s="39" t="s">
        <v>54</v>
      </c>
      <c r="E316" s="40" t="n">
        <v>119</v>
      </c>
      <c r="F316" s="40" t="n">
        <v>2499</v>
      </c>
      <c r="G316" s="41" t="n">
        <v>297381</v>
      </c>
      <c r="H316" s="41" t="n">
        <v>1451359</v>
      </c>
      <c r="I316" s="42" t="n">
        <v>0.204898305656974</v>
      </c>
      <c r="J316" s="41" t="n">
        <v>147258</v>
      </c>
      <c r="K316" s="41" t="n">
        <v>150123</v>
      </c>
    </row>
    <row r="317" customFormat="false" ht="15" hidden="false" customHeight="false" outlineLevel="0" collapsed="false">
      <c r="A317" s="43" t="s">
        <v>39</v>
      </c>
      <c r="B317" s="43" t="s">
        <v>33</v>
      </c>
      <c r="C317" s="43" t="s">
        <v>61</v>
      </c>
      <c r="D317" s="43" t="s">
        <v>55</v>
      </c>
      <c r="E317" s="44" t="n">
        <v>393</v>
      </c>
      <c r="F317" s="44" t="n">
        <v>4999</v>
      </c>
      <c r="G317" s="45" t="n">
        <v>1964607</v>
      </c>
      <c r="H317" s="45" t="n">
        <v>1378972</v>
      </c>
      <c r="I317" s="46" t="n">
        <v>1.42468955134695</v>
      </c>
      <c r="J317" s="45" t="n">
        <v>90507</v>
      </c>
      <c r="K317" s="45" t="n">
        <v>1874100</v>
      </c>
    </row>
    <row r="318" customFormat="false" ht="15" hidden="false" customHeight="false" outlineLevel="0" collapsed="false">
      <c r="A318" s="39" t="s">
        <v>39</v>
      </c>
      <c r="B318" s="39" t="s">
        <v>33</v>
      </c>
      <c r="C318" s="39" t="s">
        <v>62</v>
      </c>
      <c r="D318" s="39" t="s">
        <v>52</v>
      </c>
      <c r="E318" s="40" t="n">
        <v>262</v>
      </c>
      <c r="F318" s="40" t="n">
        <v>500</v>
      </c>
      <c r="G318" s="41" t="n">
        <v>131000</v>
      </c>
      <c r="H318" s="41" t="n">
        <v>1526235</v>
      </c>
      <c r="I318" s="42" t="n">
        <v>0.085832129390297</v>
      </c>
      <c r="J318" s="41" t="n">
        <v>156985</v>
      </c>
      <c r="K318" s="41" t="n">
        <v>-25985</v>
      </c>
    </row>
    <row r="319" customFormat="false" ht="15" hidden="false" customHeight="false" outlineLevel="0" collapsed="false">
      <c r="A319" s="43" t="s">
        <v>39</v>
      </c>
      <c r="B319" s="43" t="s">
        <v>33</v>
      </c>
      <c r="C319" s="43" t="s">
        <v>62</v>
      </c>
      <c r="D319" s="43" t="s">
        <v>53</v>
      </c>
      <c r="E319" s="44" t="n">
        <v>193</v>
      </c>
      <c r="F319" s="44" t="n">
        <v>500</v>
      </c>
      <c r="G319" s="45" t="n">
        <v>96500</v>
      </c>
      <c r="H319" s="45" t="n">
        <v>1947623</v>
      </c>
      <c r="I319" s="46" t="n">
        <v>0.0495475767127416</v>
      </c>
      <c r="J319" s="45" t="n">
        <v>147132</v>
      </c>
      <c r="K319" s="45" t="n">
        <v>-50632</v>
      </c>
    </row>
    <row r="320" customFormat="false" ht="15" hidden="false" customHeight="false" outlineLevel="0" collapsed="false">
      <c r="A320" s="39" t="s">
        <v>39</v>
      </c>
      <c r="B320" s="39" t="s">
        <v>33</v>
      </c>
      <c r="C320" s="39" t="s">
        <v>62</v>
      </c>
      <c r="D320" s="39" t="s">
        <v>54</v>
      </c>
      <c r="E320" s="40" t="n">
        <v>161</v>
      </c>
      <c r="F320" s="40" t="n">
        <v>2499</v>
      </c>
      <c r="G320" s="41" t="n">
        <v>402339</v>
      </c>
      <c r="H320" s="41" t="n">
        <v>1432594</v>
      </c>
      <c r="I320" s="42" t="n">
        <v>0.280846492446569</v>
      </c>
      <c r="J320" s="41" t="n">
        <v>111895</v>
      </c>
      <c r="K320" s="41" t="n">
        <v>290444</v>
      </c>
    </row>
    <row r="321" customFormat="false" ht="15" hidden="false" customHeight="false" outlineLevel="0" collapsed="false">
      <c r="A321" s="43" t="s">
        <v>39</v>
      </c>
      <c r="B321" s="43" t="s">
        <v>33</v>
      </c>
      <c r="C321" s="43" t="s">
        <v>62</v>
      </c>
      <c r="D321" s="43" t="s">
        <v>55</v>
      </c>
      <c r="E321" s="44" t="n">
        <v>235</v>
      </c>
      <c r="F321" s="44" t="n">
        <v>500</v>
      </c>
      <c r="G321" s="45" t="n">
        <v>117500</v>
      </c>
      <c r="H321" s="45" t="n">
        <v>1937975</v>
      </c>
      <c r="I321" s="46" t="n">
        <v>0.0606302970884557</v>
      </c>
      <c r="J321" s="45" t="n">
        <v>146294</v>
      </c>
      <c r="K321" s="45" t="n">
        <v>-28794</v>
      </c>
    </row>
    <row r="322" customFormat="false" ht="15" hidden="false" customHeight="false" outlineLevel="0" collapsed="false">
      <c r="A322" s="39" t="s">
        <v>40</v>
      </c>
      <c r="B322" s="39" t="s">
        <v>29</v>
      </c>
      <c r="C322" s="39" t="s">
        <v>51</v>
      </c>
      <c r="D322" s="39" t="s">
        <v>52</v>
      </c>
      <c r="E322" s="40" t="n">
        <v>328</v>
      </c>
      <c r="F322" s="40" t="n">
        <v>1499</v>
      </c>
      <c r="G322" s="41" t="n">
        <v>491672</v>
      </c>
      <c r="H322" s="41" t="n">
        <v>626982</v>
      </c>
      <c r="I322" s="42" t="n">
        <v>0.784188381803624</v>
      </c>
      <c r="J322" s="41" t="n">
        <v>154369</v>
      </c>
      <c r="K322" s="41" t="n">
        <v>337303</v>
      </c>
    </row>
    <row r="323" customFormat="false" ht="15" hidden="false" customHeight="false" outlineLevel="0" collapsed="false">
      <c r="A323" s="43" t="s">
        <v>40</v>
      </c>
      <c r="B323" s="43" t="s">
        <v>29</v>
      </c>
      <c r="C323" s="43" t="s">
        <v>51</v>
      </c>
      <c r="D323" s="43" t="s">
        <v>53</v>
      </c>
      <c r="E323" s="44" t="n">
        <v>191</v>
      </c>
      <c r="F323" s="44" t="n">
        <v>999</v>
      </c>
      <c r="G323" s="45" t="n">
        <v>190809</v>
      </c>
      <c r="H323" s="45" t="n">
        <v>756187</v>
      </c>
      <c r="I323" s="46" t="n">
        <v>0.252330442073191</v>
      </c>
      <c r="J323" s="45" t="n">
        <v>169201</v>
      </c>
      <c r="K323" s="45" t="n">
        <v>21608</v>
      </c>
    </row>
    <row r="324" customFormat="false" ht="15" hidden="false" customHeight="false" outlineLevel="0" collapsed="false">
      <c r="A324" s="39" t="s">
        <v>40</v>
      </c>
      <c r="B324" s="39" t="s">
        <v>29</v>
      </c>
      <c r="C324" s="39" t="s">
        <v>51</v>
      </c>
      <c r="D324" s="39" t="s">
        <v>54</v>
      </c>
      <c r="E324" s="40" t="n">
        <v>96</v>
      </c>
      <c r="F324" s="40" t="n">
        <v>999</v>
      </c>
      <c r="G324" s="41" t="n">
        <v>95904</v>
      </c>
      <c r="H324" s="41" t="n">
        <v>1845751</v>
      </c>
      <c r="I324" s="42" t="n">
        <v>0.0519593379605375</v>
      </c>
      <c r="J324" s="41" t="n">
        <v>55598</v>
      </c>
      <c r="K324" s="41" t="n">
        <v>40306</v>
      </c>
    </row>
    <row r="325" customFormat="false" ht="15" hidden="false" customHeight="false" outlineLevel="0" collapsed="false">
      <c r="A325" s="43" t="s">
        <v>40</v>
      </c>
      <c r="B325" s="43" t="s">
        <v>29</v>
      </c>
      <c r="C325" s="43" t="s">
        <v>51</v>
      </c>
      <c r="D325" s="43" t="s">
        <v>55</v>
      </c>
      <c r="E325" s="44" t="n">
        <v>75</v>
      </c>
      <c r="F325" s="44" t="n">
        <v>1499</v>
      </c>
      <c r="G325" s="45" t="n">
        <v>112425</v>
      </c>
      <c r="H325" s="45" t="n">
        <v>1010800</v>
      </c>
      <c r="I325" s="46" t="n">
        <v>0.111223783142066</v>
      </c>
      <c r="J325" s="45" t="n">
        <v>83010</v>
      </c>
      <c r="K325" s="45" t="n">
        <v>29415</v>
      </c>
    </row>
    <row r="326" customFormat="false" ht="15" hidden="false" customHeight="false" outlineLevel="0" collapsed="false">
      <c r="A326" s="39" t="s">
        <v>40</v>
      </c>
      <c r="B326" s="39" t="s">
        <v>29</v>
      </c>
      <c r="C326" s="39" t="s">
        <v>56</v>
      </c>
      <c r="D326" s="39" t="s">
        <v>52</v>
      </c>
      <c r="E326" s="40" t="n">
        <v>339</v>
      </c>
      <c r="F326" s="40" t="n">
        <v>999</v>
      </c>
      <c r="G326" s="41" t="n">
        <v>338661</v>
      </c>
      <c r="H326" s="41" t="n">
        <v>643885</v>
      </c>
      <c r="I326" s="42" t="n">
        <v>0.525965040341055</v>
      </c>
      <c r="J326" s="41" t="n">
        <v>195282</v>
      </c>
      <c r="K326" s="41" t="n">
        <v>143379</v>
      </c>
    </row>
    <row r="327" customFormat="false" ht="15" hidden="false" customHeight="false" outlineLevel="0" collapsed="false">
      <c r="A327" s="43" t="s">
        <v>40</v>
      </c>
      <c r="B327" s="43" t="s">
        <v>29</v>
      </c>
      <c r="C327" s="43" t="s">
        <v>56</v>
      </c>
      <c r="D327" s="43" t="s">
        <v>53</v>
      </c>
      <c r="E327" s="44" t="n">
        <v>156</v>
      </c>
      <c r="F327" s="44" t="n">
        <v>4999</v>
      </c>
      <c r="G327" s="45" t="n">
        <v>779844</v>
      </c>
      <c r="H327" s="45" t="n">
        <v>952882</v>
      </c>
      <c r="I327" s="46" t="n">
        <v>0.818405636794482</v>
      </c>
      <c r="J327" s="45" t="n">
        <v>111079</v>
      </c>
      <c r="K327" s="45" t="n">
        <v>668765</v>
      </c>
    </row>
    <row r="328" customFormat="false" ht="15" hidden="false" customHeight="false" outlineLevel="0" collapsed="false">
      <c r="A328" s="39" t="s">
        <v>40</v>
      </c>
      <c r="B328" s="39" t="s">
        <v>29</v>
      </c>
      <c r="C328" s="39" t="s">
        <v>56</v>
      </c>
      <c r="D328" s="39" t="s">
        <v>54</v>
      </c>
      <c r="E328" s="40" t="n">
        <v>218</v>
      </c>
      <c r="F328" s="40" t="n">
        <v>999</v>
      </c>
      <c r="G328" s="41" t="n">
        <v>217782</v>
      </c>
      <c r="H328" s="41" t="n">
        <v>1749864</v>
      </c>
      <c r="I328" s="42" t="n">
        <v>0.124456529193126</v>
      </c>
      <c r="J328" s="41" t="n">
        <v>50743</v>
      </c>
      <c r="K328" s="41" t="n">
        <v>167039</v>
      </c>
    </row>
    <row r="329" customFormat="false" ht="15" hidden="false" customHeight="false" outlineLevel="0" collapsed="false">
      <c r="A329" s="43" t="s">
        <v>40</v>
      </c>
      <c r="B329" s="43" t="s">
        <v>29</v>
      </c>
      <c r="C329" s="43" t="s">
        <v>56</v>
      </c>
      <c r="D329" s="43" t="s">
        <v>55</v>
      </c>
      <c r="E329" s="44" t="n">
        <v>191</v>
      </c>
      <c r="F329" s="44" t="n">
        <v>999</v>
      </c>
      <c r="G329" s="45" t="n">
        <v>190809</v>
      </c>
      <c r="H329" s="45" t="n">
        <v>772613</v>
      </c>
      <c r="I329" s="46" t="n">
        <v>0.246965816003614</v>
      </c>
      <c r="J329" s="45" t="n">
        <v>191614</v>
      </c>
      <c r="K329" s="45" t="n">
        <v>-805</v>
      </c>
    </row>
    <row r="330" customFormat="false" ht="15" hidden="false" customHeight="false" outlineLevel="0" collapsed="false">
      <c r="A330" s="39" t="s">
        <v>40</v>
      </c>
      <c r="B330" s="39" t="s">
        <v>31</v>
      </c>
      <c r="C330" s="39" t="s">
        <v>57</v>
      </c>
      <c r="D330" s="39" t="s">
        <v>52</v>
      </c>
      <c r="E330" s="40" t="n">
        <v>178</v>
      </c>
      <c r="F330" s="40" t="n">
        <v>999</v>
      </c>
      <c r="G330" s="41" t="n">
        <v>177822</v>
      </c>
      <c r="H330" s="41" t="n">
        <v>730532</v>
      </c>
      <c r="I330" s="42" t="n">
        <v>0.243414388418303</v>
      </c>
      <c r="J330" s="41" t="n">
        <v>56758</v>
      </c>
      <c r="K330" s="41" t="n">
        <v>121064</v>
      </c>
    </row>
    <row r="331" customFormat="false" ht="15" hidden="false" customHeight="false" outlineLevel="0" collapsed="false">
      <c r="A331" s="43" t="s">
        <v>40</v>
      </c>
      <c r="B331" s="43" t="s">
        <v>31</v>
      </c>
      <c r="C331" s="43" t="s">
        <v>57</v>
      </c>
      <c r="D331" s="43" t="s">
        <v>53</v>
      </c>
      <c r="E331" s="44" t="n">
        <v>117</v>
      </c>
      <c r="F331" s="44" t="n">
        <v>500</v>
      </c>
      <c r="G331" s="45" t="n">
        <v>58500</v>
      </c>
      <c r="H331" s="45" t="n">
        <v>1251288</v>
      </c>
      <c r="I331" s="46" t="n">
        <v>0.0467518269175442</v>
      </c>
      <c r="J331" s="45" t="n">
        <v>112372</v>
      </c>
      <c r="K331" s="45" t="n">
        <v>-53872</v>
      </c>
    </row>
    <row r="332" customFormat="false" ht="15" hidden="false" customHeight="false" outlineLevel="0" collapsed="false">
      <c r="A332" s="39" t="s">
        <v>40</v>
      </c>
      <c r="B332" s="39" t="s">
        <v>31</v>
      </c>
      <c r="C332" s="39" t="s">
        <v>57</v>
      </c>
      <c r="D332" s="39" t="s">
        <v>54</v>
      </c>
      <c r="E332" s="40" t="n">
        <v>351</v>
      </c>
      <c r="F332" s="40" t="n">
        <v>1499</v>
      </c>
      <c r="G332" s="41" t="n">
        <v>526149</v>
      </c>
      <c r="H332" s="41" t="n">
        <v>533095</v>
      </c>
      <c r="I332" s="42" t="n">
        <v>0.986970427409749</v>
      </c>
      <c r="J332" s="41" t="n">
        <v>95677</v>
      </c>
      <c r="K332" s="41" t="n">
        <v>430472</v>
      </c>
    </row>
    <row r="333" customFormat="false" ht="15" hidden="false" customHeight="false" outlineLevel="0" collapsed="false">
      <c r="A333" s="43" t="s">
        <v>40</v>
      </c>
      <c r="B333" s="43" t="s">
        <v>31</v>
      </c>
      <c r="C333" s="43" t="s">
        <v>57</v>
      </c>
      <c r="D333" s="43" t="s">
        <v>55</v>
      </c>
      <c r="E333" s="44" t="n">
        <v>185</v>
      </c>
      <c r="F333" s="44" t="n">
        <v>500</v>
      </c>
      <c r="G333" s="45" t="n">
        <v>92500</v>
      </c>
      <c r="H333" s="45" t="n">
        <v>765831</v>
      </c>
      <c r="I333" s="46" t="n">
        <v>0.120783828285875</v>
      </c>
      <c r="J333" s="45" t="n">
        <v>160352</v>
      </c>
      <c r="K333" s="45" t="n">
        <v>-67852</v>
      </c>
    </row>
    <row r="334" customFormat="false" ht="15" hidden="false" customHeight="false" outlineLevel="0" collapsed="false">
      <c r="A334" s="39" t="s">
        <v>40</v>
      </c>
      <c r="B334" s="39" t="s">
        <v>31</v>
      </c>
      <c r="C334" s="39" t="s">
        <v>58</v>
      </c>
      <c r="D334" s="39" t="s">
        <v>52</v>
      </c>
      <c r="E334" s="40" t="n">
        <v>319</v>
      </c>
      <c r="F334" s="40" t="n">
        <v>500</v>
      </c>
      <c r="G334" s="41" t="n">
        <v>159500</v>
      </c>
      <c r="H334" s="41" t="n">
        <v>633290</v>
      </c>
      <c r="I334" s="42" t="n">
        <v>0.251859337744161</v>
      </c>
      <c r="J334" s="41" t="n">
        <v>174845</v>
      </c>
      <c r="K334" s="41" t="n">
        <v>-15345</v>
      </c>
    </row>
    <row r="335" customFormat="false" ht="15" hidden="false" customHeight="false" outlineLevel="0" collapsed="false">
      <c r="A335" s="43" t="s">
        <v>40</v>
      </c>
      <c r="B335" s="43" t="s">
        <v>31</v>
      </c>
      <c r="C335" s="43" t="s">
        <v>58</v>
      </c>
      <c r="D335" s="43" t="s">
        <v>53</v>
      </c>
      <c r="E335" s="44" t="n">
        <v>279</v>
      </c>
      <c r="F335" s="44" t="n">
        <v>1499</v>
      </c>
      <c r="G335" s="45" t="n">
        <v>418221</v>
      </c>
      <c r="H335" s="45" t="n">
        <v>1576338</v>
      </c>
      <c r="I335" s="46" t="n">
        <v>0.265311754204999</v>
      </c>
      <c r="J335" s="45" t="n">
        <v>78587</v>
      </c>
      <c r="K335" s="45" t="n">
        <v>339634</v>
      </c>
    </row>
    <row r="336" customFormat="false" ht="15" hidden="false" customHeight="false" outlineLevel="0" collapsed="false">
      <c r="A336" s="39" t="s">
        <v>40</v>
      </c>
      <c r="B336" s="39" t="s">
        <v>31</v>
      </c>
      <c r="C336" s="39" t="s">
        <v>58</v>
      </c>
      <c r="D336" s="39" t="s">
        <v>54</v>
      </c>
      <c r="E336" s="40" t="n">
        <v>281</v>
      </c>
      <c r="F336" s="40" t="n">
        <v>4999</v>
      </c>
      <c r="G336" s="41" t="n">
        <v>1404719</v>
      </c>
      <c r="H336" s="41" t="n">
        <v>964623</v>
      </c>
      <c r="I336" s="42" t="n">
        <v>1.456236270543</v>
      </c>
      <c r="J336" s="41" t="n">
        <v>61367</v>
      </c>
      <c r="K336" s="41" t="n">
        <v>1343352</v>
      </c>
    </row>
    <row r="337" customFormat="false" ht="15" hidden="false" customHeight="false" outlineLevel="0" collapsed="false">
      <c r="A337" s="43" t="s">
        <v>40</v>
      </c>
      <c r="B337" s="43" t="s">
        <v>31</v>
      </c>
      <c r="C337" s="43" t="s">
        <v>58</v>
      </c>
      <c r="D337" s="43" t="s">
        <v>55</v>
      </c>
      <c r="E337" s="44" t="n">
        <v>387</v>
      </c>
      <c r="F337" s="44" t="n">
        <v>4999</v>
      </c>
      <c r="G337" s="45" t="n">
        <v>1934613</v>
      </c>
      <c r="H337" s="45" t="n">
        <v>1132564</v>
      </c>
      <c r="I337" s="46" t="n">
        <v>1.70817101726702</v>
      </c>
      <c r="J337" s="45" t="n">
        <v>170073</v>
      </c>
      <c r="K337" s="45" t="n">
        <v>1764540</v>
      </c>
    </row>
    <row r="338" customFormat="false" ht="15" hidden="false" customHeight="false" outlineLevel="0" collapsed="false">
      <c r="A338" s="39" t="s">
        <v>40</v>
      </c>
      <c r="B338" s="39" t="s">
        <v>27</v>
      </c>
      <c r="C338" s="39" t="s">
        <v>59</v>
      </c>
      <c r="D338" s="39" t="s">
        <v>52</v>
      </c>
      <c r="E338" s="40" t="n">
        <v>379</v>
      </c>
      <c r="F338" s="40" t="n">
        <v>500</v>
      </c>
      <c r="G338" s="41" t="n">
        <v>189500</v>
      </c>
      <c r="H338" s="41" t="n">
        <v>627560</v>
      </c>
      <c r="I338" s="42" t="n">
        <v>0.301963158901141</v>
      </c>
      <c r="J338" s="41" t="n">
        <v>175562</v>
      </c>
      <c r="K338" s="41" t="n">
        <v>13938</v>
      </c>
    </row>
    <row r="339" customFormat="false" ht="15" hidden="false" customHeight="false" outlineLevel="0" collapsed="false">
      <c r="A339" s="43" t="s">
        <v>40</v>
      </c>
      <c r="B339" s="43" t="s">
        <v>27</v>
      </c>
      <c r="C339" s="43" t="s">
        <v>59</v>
      </c>
      <c r="D339" s="43" t="s">
        <v>53</v>
      </c>
      <c r="E339" s="44" t="n">
        <v>255</v>
      </c>
      <c r="F339" s="44" t="n">
        <v>2499</v>
      </c>
      <c r="G339" s="45" t="n">
        <v>637245</v>
      </c>
      <c r="H339" s="45" t="n">
        <v>1938850</v>
      </c>
      <c r="I339" s="46" t="n">
        <v>0.328671635247698</v>
      </c>
      <c r="J339" s="45" t="n">
        <v>78301</v>
      </c>
      <c r="K339" s="45" t="n">
        <v>558944</v>
      </c>
    </row>
    <row r="340" customFormat="false" ht="15" hidden="false" customHeight="false" outlineLevel="0" collapsed="false">
      <c r="A340" s="39" t="s">
        <v>40</v>
      </c>
      <c r="B340" s="39" t="s">
        <v>27</v>
      </c>
      <c r="C340" s="39" t="s">
        <v>59</v>
      </c>
      <c r="D340" s="39" t="s">
        <v>54</v>
      </c>
      <c r="E340" s="40" t="n">
        <v>301</v>
      </c>
      <c r="F340" s="40" t="n">
        <v>2499</v>
      </c>
      <c r="G340" s="41" t="n">
        <v>752199</v>
      </c>
      <c r="H340" s="41" t="n">
        <v>654121</v>
      </c>
      <c r="I340" s="42" t="n">
        <v>1.14993861991895</v>
      </c>
      <c r="J340" s="41" t="n">
        <v>71178</v>
      </c>
      <c r="K340" s="41" t="n">
        <v>681021</v>
      </c>
    </row>
    <row r="341" customFormat="false" ht="15" hidden="false" customHeight="false" outlineLevel="0" collapsed="false">
      <c r="A341" s="43" t="s">
        <v>40</v>
      </c>
      <c r="B341" s="43" t="s">
        <v>27</v>
      </c>
      <c r="C341" s="43" t="s">
        <v>59</v>
      </c>
      <c r="D341" s="43" t="s">
        <v>55</v>
      </c>
      <c r="E341" s="44" t="n">
        <v>214</v>
      </c>
      <c r="F341" s="44" t="n">
        <v>4999</v>
      </c>
      <c r="G341" s="45" t="n">
        <v>1069786</v>
      </c>
      <c r="H341" s="45" t="n">
        <v>811078</v>
      </c>
      <c r="I341" s="46" t="n">
        <v>1.31896808938228</v>
      </c>
      <c r="J341" s="45" t="n">
        <v>67218</v>
      </c>
      <c r="K341" s="45" t="n">
        <v>1002568</v>
      </c>
    </row>
    <row r="342" customFormat="false" ht="15" hidden="false" customHeight="false" outlineLevel="0" collapsed="false">
      <c r="A342" s="39" t="s">
        <v>40</v>
      </c>
      <c r="B342" s="39" t="s">
        <v>27</v>
      </c>
      <c r="C342" s="39" t="s">
        <v>60</v>
      </c>
      <c r="D342" s="39" t="s">
        <v>52</v>
      </c>
      <c r="E342" s="40" t="n">
        <v>114</v>
      </c>
      <c r="F342" s="40" t="n">
        <v>1499</v>
      </c>
      <c r="G342" s="41" t="n">
        <v>170886</v>
      </c>
      <c r="H342" s="41" t="n">
        <v>1809288</v>
      </c>
      <c r="I342" s="42" t="n">
        <v>0.094449308236168</v>
      </c>
      <c r="J342" s="41" t="n">
        <v>193748</v>
      </c>
      <c r="K342" s="41" t="n">
        <v>-22862</v>
      </c>
    </row>
    <row r="343" customFormat="false" ht="15" hidden="false" customHeight="false" outlineLevel="0" collapsed="false">
      <c r="A343" s="43" t="s">
        <v>40</v>
      </c>
      <c r="B343" s="43" t="s">
        <v>27</v>
      </c>
      <c r="C343" s="43" t="s">
        <v>60</v>
      </c>
      <c r="D343" s="43" t="s">
        <v>53</v>
      </c>
      <c r="E343" s="44" t="n">
        <v>216</v>
      </c>
      <c r="F343" s="44" t="n">
        <v>2499</v>
      </c>
      <c r="G343" s="45" t="n">
        <v>539784</v>
      </c>
      <c r="H343" s="45" t="n">
        <v>1752821</v>
      </c>
      <c r="I343" s="46" t="n">
        <v>0.307951582049736</v>
      </c>
      <c r="J343" s="45" t="n">
        <v>189082</v>
      </c>
      <c r="K343" s="45" t="n">
        <v>350702</v>
      </c>
    </row>
    <row r="344" customFormat="false" ht="15" hidden="false" customHeight="false" outlineLevel="0" collapsed="false">
      <c r="A344" s="39" t="s">
        <v>40</v>
      </c>
      <c r="B344" s="39" t="s">
        <v>27</v>
      </c>
      <c r="C344" s="39" t="s">
        <v>60</v>
      </c>
      <c r="D344" s="39" t="s">
        <v>54</v>
      </c>
      <c r="E344" s="40" t="n">
        <v>200</v>
      </c>
      <c r="F344" s="40" t="n">
        <v>2499</v>
      </c>
      <c r="G344" s="41" t="n">
        <v>499800</v>
      </c>
      <c r="H344" s="41" t="n">
        <v>1560217</v>
      </c>
      <c r="I344" s="42" t="n">
        <v>0.320340055261544</v>
      </c>
      <c r="J344" s="41" t="n">
        <v>162774</v>
      </c>
      <c r="K344" s="41" t="n">
        <v>337026</v>
      </c>
    </row>
    <row r="345" customFormat="false" ht="15" hidden="false" customHeight="false" outlineLevel="0" collapsed="false">
      <c r="A345" s="43" t="s">
        <v>40</v>
      </c>
      <c r="B345" s="43" t="s">
        <v>27</v>
      </c>
      <c r="C345" s="43" t="s">
        <v>60</v>
      </c>
      <c r="D345" s="43" t="s">
        <v>55</v>
      </c>
      <c r="E345" s="44" t="n">
        <v>100</v>
      </c>
      <c r="F345" s="44" t="n">
        <v>500</v>
      </c>
      <c r="G345" s="45" t="n">
        <v>50000</v>
      </c>
      <c r="H345" s="45" t="n">
        <v>1873032</v>
      </c>
      <c r="I345" s="46" t="n">
        <v>0.0266946854084714</v>
      </c>
      <c r="J345" s="45" t="n">
        <v>194529</v>
      </c>
      <c r="K345" s="45" t="n">
        <v>-144529</v>
      </c>
    </row>
    <row r="346" customFormat="false" ht="15" hidden="false" customHeight="false" outlineLevel="0" collapsed="false">
      <c r="A346" s="39" t="s">
        <v>40</v>
      </c>
      <c r="B346" s="39" t="s">
        <v>33</v>
      </c>
      <c r="C346" s="39" t="s">
        <v>61</v>
      </c>
      <c r="D346" s="39" t="s">
        <v>52</v>
      </c>
      <c r="E346" s="40" t="n">
        <v>160</v>
      </c>
      <c r="F346" s="40" t="n">
        <v>2499</v>
      </c>
      <c r="G346" s="41" t="n">
        <v>399840</v>
      </c>
      <c r="H346" s="41" t="n">
        <v>1446979</v>
      </c>
      <c r="I346" s="42" t="n">
        <v>0.276327438062335</v>
      </c>
      <c r="J346" s="41" t="n">
        <v>109898</v>
      </c>
      <c r="K346" s="41" t="n">
        <v>289942</v>
      </c>
    </row>
    <row r="347" customFormat="false" ht="15" hidden="false" customHeight="false" outlineLevel="0" collapsed="false">
      <c r="A347" s="43" t="s">
        <v>40</v>
      </c>
      <c r="B347" s="43" t="s">
        <v>33</v>
      </c>
      <c r="C347" s="43" t="s">
        <v>61</v>
      </c>
      <c r="D347" s="43" t="s">
        <v>53</v>
      </c>
      <c r="E347" s="44" t="n">
        <v>261</v>
      </c>
      <c r="F347" s="44" t="n">
        <v>1499</v>
      </c>
      <c r="G347" s="45" t="n">
        <v>391239</v>
      </c>
      <c r="H347" s="45" t="n">
        <v>1451056</v>
      </c>
      <c r="I347" s="46" t="n">
        <v>0.269623639611428</v>
      </c>
      <c r="J347" s="45" t="n">
        <v>154524</v>
      </c>
      <c r="K347" s="45" t="n">
        <v>236715</v>
      </c>
    </row>
    <row r="348" customFormat="false" ht="15" hidden="false" customHeight="false" outlineLevel="0" collapsed="false">
      <c r="A348" s="39" t="s">
        <v>40</v>
      </c>
      <c r="B348" s="39" t="s">
        <v>33</v>
      </c>
      <c r="C348" s="39" t="s">
        <v>61</v>
      </c>
      <c r="D348" s="39" t="s">
        <v>54</v>
      </c>
      <c r="E348" s="40" t="n">
        <v>262</v>
      </c>
      <c r="F348" s="40" t="n">
        <v>500</v>
      </c>
      <c r="G348" s="41" t="n">
        <v>131000</v>
      </c>
      <c r="H348" s="41" t="n">
        <v>1155461</v>
      </c>
      <c r="I348" s="42" t="n">
        <v>0.113374661715108</v>
      </c>
      <c r="J348" s="41" t="n">
        <v>161873</v>
      </c>
      <c r="K348" s="41" t="n">
        <v>-30873</v>
      </c>
    </row>
    <row r="349" customFormat="false" ht="15" hidden="false" customHeight="false" outlineLevel="0" collapsed="false">
      <c r="A349" s="43" t="s">
        <v>40</v>
      </c>
      <c r="B349" s="43" t="s">
        <v>33</v>
      </c>
      <c r="C349" s="43" t="s">
        <v>61</v>
      </c>
      <c r="D349" s="43" t="s">
        <v>55</v>
      </c>
      <c r="E349" s="44" t="n">
        <v>210</v>
      </c>
      <c r="F349" s="44" t="n">
        <v>1499</v>
      </c>
      <c r="G349" s="45" t="n">
        <v>314790</v>
      </c>
      <c r="H349" s="45" t="n">
        <v>1284966</v>
      </c>
      <c r="I349" s="46" t="n">
        <v>0.244979244587016</v>
      </c>
      <c r="J349" s="45" t="n">
        <v>90013</v>
      </c>
      <c r="K349" s="45" t="n">
        <v>224777</v>
      </c>
    </row>
    <row r="350" customFormat="false" ht="15" hidden="false" customHeight="false" outlineLevel="0" collapsed="false">
      <c r="A350" s="39" t="s">
        <v>40</v>
      </c>
      <c r="B350" s="39" t="s">
        <v>33</v>
      </c>
      <c r="C350" s="39" t="s">
        <v>62</v>
      </c>
      <c r="D350" s="39" t="s">
        <v>52</v>
      </c>
      <c r="E350" s="40" t="n">
        <v>292</v>
      </c>
      <c r="F350" s="40" t="n">
        <v>500</v>
      </c>
      <c r="G350" s="41" t="n">
        <v>146000</v>
      </c>
      <c r="H350" s="41" t="n">
        <v>691312</v>
      </c>
      <c r="I350" s="42" t="n">
        <v>0.211192630823709</v>
      </c>
      <c r="J350" s="41" t="n">
        <v>72377</v>
      </c>
      <c r="K350" s="41" t="n">
        <v>73623</v>
      </c>
    </row>
    <row r="351" customFormat="false" ht="15" hidden="false" customHeight="false" outlineLevel="0" collapsed="false">
      <c r="A351" s="43" t="s">
        <v>40</v>
      </c>
      <c r="B351" s="43" t="s">
        <v>33</v>
      </c>
      <c r="C351" s="43" t="s">
        <v>62</v>
      </c>
      <c r="D351" s="43" t="s">
        <v>53</v>
      </c>
      <c r="E351" s="44" t="n">
        <v>97</v>
      </c>
      <c r="F351" s="44" t="n">
        <v>2499</v>
      </c>
      <c r="G351" s="45" t="n">
        <v>242403</v>
      </c>
      <c r="H351" s="45" t="n">
        <v>702510</v>
      </c>
      <c r="I351" s="46" t="n">
        <v>0.345052739462784</v>
      </c>
      <c r="J351" s="45" t="n">
        <v>147687</v>
      </c>
      <c r="K351" s="45" t="n">
        <v>94716</v>
      </c>
    </row>
    <row r="352" customFormat="false" ht="15" hidden="false" customHeight="false" outlineLevel="0" collapsed="false">
      <c r="A352" s="39" t="s">
        <v>40</v>
      </c>
      <c r="B352" s="39" t="s">
        <v>33</v>
      </c>
      <c r="C352" s="39" t="s">
        <v>62</v>
      </c>
      <c r="D352" s="39" t="s">
        <v>54</v>
      </c>
      <c r="E352" s="40" t="n">
        <v>116</v>
      </c>
      <c r="F352" s="40" t="n">
        <v>4999</v>
      </c>
      <c r="G352" s="41" t="n">
        <v>579884</v>
      </c>
      <c r="H352" s="41" t="n">
        <v>625789</v>
      </c>
      <c r="I352" s="42" t="n">
        <v>0.926644603852097</v>
      </c>
      <c r="J352" s="41" t="n">
        <v>197216</v>
      </c>
      <c r="K352" s="41" t="n">
        <v>382668</v>
      </c>
    </row>
    <row r="353" customFormat="false" ht="15" hidden="false" customHeight="false" outlineLevel="0" collapsed="false">
      <c r="A353" s="43" t="s">
        <v>40</v>
      </c>
      <c r="B353" s="43" t="s">
        <v>33</v>
      </c>
      <c r="C353" s="43" t="s">
        <v>62</v>
      </c>
      <c r="D353" s="43" t="s">
        <v>55</v>
      </c>
      <c r="E353" s="44" t="n">
        <v>337</v>
      </c>
      <c r="F353" s="44" t="n">
        <v>1499</v>
      </c>
      <c r="G353" s="45" t="n">
        <v>505163</v>
      </c>
      <c r="H353" s="45" t="n">
        <v>1905119</v>
      </c>
      <c r="I353" s="46" t="n">
        <v>0.265160863967028</v>
      </c>
      <c r="J353" s="45" t="n">
        <v>82042</v>
      </c>
      <c r="K353" s="45" t="n">
        <v>423121</v>
      </c>
    </row>
    <row r="354" customFormat="false" ht="15" hidden="false" customHeight="false" outlineLevel="0" collapsed="false">
      <c r="A354" s="39" t="s">
        <v>41</v>
      </c>
      <c r="B354" s="39" t="s">
        <v>29</v>
      </c>
      <c r="C354" s="39" t="s">
        <v>51</v>
      </c>
      <c r="D354" s="39" t="s">
        <v>52</v>
      </c>
      <c r="E354" s="40" t="n">
        <v>260</v>
      </c>
      <c r="F354" s="40" t="n">
        <v>1499</v>
      </c>
      <c r="G354" s="41" t="n">
        <v>389740</v>
      </c>
      <c r="H354" s="41" t="n">
        <v>1895320</v>
      </c>
      <c r="I354" s="42" t="n">
        <v>0.205632821898149</v>
      </c>
      <c r="J354" s="41" t="n">
        <v>160870</v>
      </c>
      <c r="K354" s="41" t="n">
        <v>228870</v>
      </c>
    </row>
    <row r="355" customFormat="false" ht="15" hidden="false" customHeight="false" outlineLevel="0" collapsed="false">
      <c r="A355" s="43" t="s">
        <v>41</v>
      </c>
      <c r="B355" s="43" t="s">
        <v>29</v>
      </c>
      <c r="C355" s="43" t="s">
        <v>51</v>
      </c>
      <c r="D355" s="43" t="s">
        <v>53</v>
      </c>
      <c r="E355" s="44" t="n">
        <v>76</v>
      </c>
      <c r="F355" s="44" t="n">
        <v>1499</v>
      </c>
      <c r="G355" s="45" t="n">
        <v>113924</v>
      </c>
      <c r="H355" s="45" t="n">
        <v>1759151</v>
      </c>
      <c r="I355" s="46" t="n">
        <v>0.0647607851742119</v>
      </c>
      <c r="J355" s="45" t="n">
        <v>131906</v>
      </c>
      <c r="K355" s="45" t="n">
        <v>-17982</v>
      </c>
    </row>
    <row r="356" customFormat="false" ht="15" hidden="false" customHeight="false" outlineLevel="0" collapsed="false">
      <c r="A356" s="39" t="s">
        <v>41</v>
      </c>
      <c r="B356" s="39" t="s">
        <v>29</v>
      </c>
      <c r="C356" s="39" t="s">
        <v>51</v>
      </c>
      <c r="D356" s="39" t="s">
        <v>54</v>
      </c>
      <c r="E356" s="40" t="n">
        <v>230</v>
      </c>
      <c r="F356" s="40" t="n">
        <v>500</v>
      </c>
      <c r="G356" s="41" t="n">
        <v>115000</v>
      </c>
      <c r="H356" s="41" t="n">
        <v>1711982</v>
      </c>
      <c r="I356" s="42" t="n">
        <v>0.0671736034607841</v>
      </c>
      <c r="J356" s="41" t="n">
        <v>183015</v>
      </c>
      <c r="K356" s="41" t="n">
        <v>-68015</v>
      </c>
    </row>
    <row r="357" customFormat="false" ht="15" hidden="false" customHeight="false" outlineLevel="0" collapsed="false">
      <c r="A357" s="43" t="s">
        <v>41</v>
      </c>
      <c r="B357" s="43" t="s">
        <v>29</v>
      </c>
      <c r="C357" s="43" t="s">
        <v>51</v>
      </c>
      <c r="D357" s="43" t="s">
        <v>55</v>
      </c>
      <c r="E357" s="44" t="n">
        <v>158</v>
      </c>
      <c r="F357" s="44" t="n">
        <v>999</v>
      </c>
      <c r="G357" s="45" t="n">
        <v>157842</v>
      </c>
      <c r="H357" s="45" t="n">
        <v>1877275</v>
      </c>
      <c r="I357" s="46" t="n">
        <v>0.0840803824692706</v>
      </c>
      <c r="J357" s="45" t="n">
        <v>176403</v>
      </c>
      <c r="K357" s="45" t="n">
        <v>-18561</v>
      </c>
    </row>
    <row r="358" customFormat="false" ht="15" hidden="false" customHeight="false" outlineLevel="0" collapsed="false">
      <c r="A358" s="39" t="s">
        <v>41</v>
      </c>
      <c r="B358" s="39" t="s">
        <v>29</v>
      </c>
      <c r="C358" s="39" t="s">
        <v>56</v>
      </c>
      <c r="D358" s="39" t="s">
        <v>52</v>
      </c>
      <c r="E358" s="40" t="n">
        <v>164</v>
      </c>
      <c r="F358" s="40" t="n">
        <v>500</v>
      </c>
      <c r="G358" s="41" t="n">
        <v>82000</v>
      </c>
      <c r="H358" s="41" t="n">
        <v>1234242</v>
      </c>
      <c r="I358" s="42" t="n">
        <v>0.0664375381813291</v>
      </c>
      <c r="J358" s="41" t="n">
        <v>195821</v>
      </c>
      <c r="K358" s="41" t="n">
        <v>-113821</v>
      </c>
    </row>
    <row r="359" customFormat="false" ht="15" hidden="false" customHeight="false" outlineLevel="0" collapsed="false">
      <c r="A359" s="43" t="s">
        <v>41</v>
      </c>
      <c r="B359" s="43" t="s">
        <v>29</v>
      </c>
      <c r="C359" s="43" t="s">
        <v>56</v>
      </c>
      <c r="D359" s="43" t="s">
        <v>53</v>
      </c>
      <c r="E359" s="44" t="n">
        <v>238</v>
      </c>
      <c r="F359" s="44" t="n">
        <v>500</v>
      </c>
      <c r="G359" s="45" t="n">
        <v>119000</v>
      </c>
      <c r="H359" s="45" t="n">
        <v>1084199</v>
      </c>
      <c r="I359" s="46" t="n">
        <v>0.109758448402922</v>
      </c>
      <c r="J359" s="45" t="n">
        <v>109286</v>
      </c>
      <c r="K359" s="45" t="n">
        <v>9714</v>
      </c>
    </row>
    <row r="360" customFormat="false" ht="15" hidden="false" customHeight="false" outlineLevel="0" collapsed="false">
      <c r="A360" s="39" t="s">
        <v>41</v>
      </c>
      <c r="B360" s="39" t="s">
        <v>29</v>
      </c>
      <c r="C360" s="39" t="s">
        <v>56</v>
      </c>
      <c r="D360" s="39" t="s">
        <v>54</v>
      </c>
      <c r="E360" s="40" t="n">
        <v>269</v>
      </c>
      <c r="F360" s="40" t="n">
        <v>4999</v>
      </c>
      <c r="G360" s="41" t="n">
        <v>1344731</v>
      </c>
      <c r="H360" s="41" t="n">
        <v>1803849</v>
      </c>
      <c r="I360" s="42" t="n">
        <v>0.745478695833188</v>
      </c>
      <c r="J360" s="41" t="n">
        <v>195945</v>
      </c>
      <c r="K360" s="41" t="n">
        <v>1148786</v>
      </c>
    </row>
    <row r="361" customFormat="false" ht="15" hidden="false" customHeight="false" outlineLevel="0" collapsed="false">
      <c r="A361" s="43" t="s">
        <v>41</v>
      </c>
      <c r="B361" s="43" t="s">
        <v>29</v>
      </c>
      <c r="C361" s="43" t="s">
        <v>56</v>
      </c>
      <c r="D361" s="43" t="s">
        <v>55</v>
      </c>
      <c r="E361" s="44" t="n">
        <v>63</v>
      </c>
      <c r="F361" s="44" t="n">
        <v>4999</v>
      </c>
      <c r="G361" s="45" t="n">
        <v>314937</v>
      </c>
      <c r="H361" s="45" t="n">
        <v>1879572</v>
      </c>
      <c r="I361" s="46" t="n">
        <v>0.167557826994656</v>
      </c>
      <c r="J361" s="45" t="n">
        <v>120109</v>
      </c>
      <c r="K361" s="45" t="n">
        <v>194828</v>
      </c>
    </row>
    <row r="362" customFormat="false" ht="15" hidden="false" customHeight="false" outlineLevel="0" collapsed="false">
      <c r="A362" s="39" t="s">
        <v>41</v>
      </c>
      <c r="B362" s="39" t="s">
        <v>31</v>
      </c>
      <c r="C362" s="39" t="s">
        <v>57</v>
      </c>
      <c r="D362" s="39" t="s">
        <v>52</v>
      </c>
      <c r="E362" s="40" t="n">
        <v>64</v>
      </c>
      <c r="F362" s="40" t="n">
        <v>999</v>
      </c>
      <c r="G362" s="41" t="n">
        <v>63936</v>
      </c>
      <c r="H362" s="41" t="n">
        <v>1073089</v>
      </c>
      <c r="I362" s="42" t="n">
        <v>0.0595812649276994</v>
      </c>
      <c r="J362" s="41" t="n">
        <v>130998</v>
      </c>
      <c r="K362" s="41" t="n">
        <v>-67062</v>
      </c>
    </row>
    <row r="363" customFormat="false" ht="15" hidden="false" customHeight="false" outlineLevel="0" collapsed="false">
      <c r="A363" s="43" t="s">
        <v>41</v>
      </c>
      <c r="B363" s="43" t="s">
        <v>31</v>
      </c>
      <c r="C363" s="43" t="s">
        <v>57</v>
      </c>
      <c r="D363" s="43" t="s">
        <v>53</v>
      </c>
      <c r="E363" s="44" t="n">
        <v>223</v>
      </c>
      <c r="F363" s="44" t="n">
        <v>1499</v>
      </c>
      <c r="G363" s="45" t="n">
        <v>334277</v>
      </c>
      <c r="H363" s="45" t="n">
        <v>512804</v>
      </c>
      <c r="I363" s="46" t="n">
        <v>0.651861139928706</v>
      </c>
      <c r="J363" s="45" t="n">
        <v>97554</v>
      </c>
      <c r="K363" s="45" t="n">
        <v>236723</v>
      </c>
    </row>
    <row r="364" customFormat="false" ht="15" hidden="false" customHeight="false" outlineLevel="0" collapsed="false">
      <c r="A364" s="39" t="s">
        <v>41</v>
      </c>
      <c r="B364" s="39" t="s">
        <v>31</v>
      </c>
      <c r="C364" s="39" t="s">
        <v>57</v>
      </c>
      <c r="D364" s="39" t="s">
        <v>54</v>
      </c>
      <c r="E364" s="40" t="n">
        <v>123</v>
      </c>
      <c r="F364" s="40" t="n">
        <v>4999</v>
      </c>
      <c r="G364" s="41" t="n">
        <v>614877</v>
      </c>
      <c r="H364" s="41" t="n">
        <v>1878551</v>
      </c>
      <c r="I364" s="42" t="n">
        <v>0.32731450996007</v>
      </c>
      <c r="J364" s="41" t="n">
        <v>155063</v>
      </c>
      <c r="K364" s="41" t="n">
        <v>459814</v>
      </c>
    </row>
    <row r="365" customFormat="false" ht="15" hidden="false" customHeight="false" outlineLevel="0" collapsed="false">
      <c r="A365" s="43" t="s">
        <v>41</v>
      </c>
      <c r="B365" s="43" t="s">
        <v>31</v>
      </c>
      <c r="C365" s="43" t="s">
        <v>57</v>
      </c>
      <c r="D365" s="43" t="s">
        <v>55</v>
      </c>
      <c r="E365" s="44" t="n">
        <v>85</v>
      </c>
      <c r="F365" s="44" t="n">
        <v>999</v>
      </c>
      <c r="G365" s="45" t="n">
        <v>84915</v>
      </c>
      <c r="H365" s="45" t="n">
        <v>1827857</v>
      </c>
      <c r="I365" s="46" t="n">
        <v>0.0464560411454507</v>
      </c>
      <c r="J365" s="45" t="n">
        <v>58036</v>
      </c>
      <c r="K365" s="45" t="n">
        <v>26879</v>
      </c>
    </row>
    <row r="366" customFormat="false" ht="15" hidden="false" customHeight="false" outlineLevel="0" collapsed="false">
      <c r="A366" s="39" t="s">
        <v>41</v>
      </c>
      <c r="B366" s="39" t="s">
        <v>31</v>
      </c>
      <c r="C366" s="39" t="s">
        <v>58</v>
      </c>
      <c r="D366" s="39" t="s">
        <v>52</v>
      </c>
      <c r="E366" s="40" t="n">
        <v>96</v>
      </c>
      <c r="F366" s="40" t="n">
        <v>4999</v>
      </c>
      <c r="G366" s="41" t="n">
        <v>479904</v>
      </c>
      <c r="H366" s="41" t="n">
        <v>951166</v>
      </c>
      <c r="I366" s="42" t="n">
        <v>0.504542845307759</v>
      </c>
      <c r="J366" s="41" t="n">
        <v>148617</v>
      </c>
      <c r="K366" s="41" t="n">
        <v>331287</v>
      </c>
    </row>
    <row r="367" customFormat="false" ht="15" hidden="false" customHeight="false" outlineLevel="0" collapsed="false">
      <c r="A367" s="43" t="s">
        <v>41</v>
      </c>
      <c r="B367" s="43" t="s">
        <v>31</v>
      </c>
      <c r="C367" s="43" t="s">
        <v>58</v>
      </c>
      <c r="D367" s="43" t="s">
        <v>53</v>
      </c>
      <c r="E367" s="44" t="n">
        <v>264</v>
      </c>
      <c r="F367" s="44" t="n">
        <v>2499</v>
      </c>
      <c r="G367" s="45" t="n">
        <v>659736</v>
      </c>
      <c r="H367" s="45" t="n">
        <v>1214910</v>
      </c>
      <c r="I367" s="46" t="n">
        <v>0.543032817245722</v>
      </c>
      <c r="J367" s="45" t="n">
        <v>91263</v>
      </c>
      <c r="K367" s="45" t="n">
        <v>568473</v>
      </c>
    </row>
    <row r="368" customFormat="false" ht="15" hidden="false" customHeight="false" outlineLevel="0" collapsed="false">
      <c r="A368" s="39" t="s">
        <v>41</v>
      </c>
      <c r="B368" s="39" t="s">
        <v>31</v>
      </c>
      <c r="C368" s="39" t="s">
        <v>58</v>
      </c>
      <c r="D368" s="39" t="s">
        <v>54</v>
      </c>
      <c r="E368" s="40" t="n">
        <v>239</v>
      </c>
      <c r="F368" s="40" t="n">
        <v>1499</v>
      </c>
      <c r="G368" s="41" t="n">
        <v>358261</v>
      </c>
      <c r="H368" s="41" t="n">
        <v>1180280</v>
      </c>
      <c r="I368" s="42" t="n">
        <v>0.303538990747958</v>
      </c>
      <c r="J368" s="41" t="n">
        <v>198791</v>
      </c>
      <c r="K368" s="41" t="n">
        <v>159470</v>
      </c>
    </row>
    <row r="369" customFormat="false" ht="15" hidden="false" customHeight="false" outlineLevel="0" collapsed="false">
      <c r="A369" s="43" t="s">
        <v>41</v>
      </c>
      <c r="B369" s="43" t="s">
        <v>31</v>
      </c>
      <c r="C369" s="43" t="s">
        <v>58</v>
      </c>
      <c r="D369" s="43" t="s">
        <v>55</v>
      </c>
      <c r="E369" s="44" t="n">
        <v>355</v>
      </c>
      <c r="F369" s="44" t="n">
        <v>500</v>
      </c>
      <c r="G369" s="45" t="n">
        <v>177500</v>
      </c>
      <c r="H369" s="45" t="n">
        <v>610328</v>
      </c>
      <c r="I369" s="46" t="n">
        <v>0.290827227326946</v>
      </c>
      <c r="J369" s="45" t="n">
        <v>90784</v>
      </c>
      <c r="K369" s="45" t="n">
        <v>86716</v>
      </c>
    </row>
    <row r="370" customFormat="false" ht="15" hidden="false" customHeight="false" outlineLevel="0" collapsed="false">
      <c r="A370" s="39" t="s">
        <v>41</v>
      </c>
      <c r="B370" s="39" t="s">
        <v>27</v>
      </c>
      <c r="C370" s="39" t="s">
        <v>59</v>
      </c>
      <c r="D370" s="39" t="s">
        <v>52</v>
      </c>
      <c r="E370" s="40" t="n">
        <v>130</v>
      </c>
      <c r="F370" s="40" t="n">
        <v>4999</v>
      </c>
      <c r="G370" s="41" t="n">
        <v>649870</v>
      </c>
      <c r="H370" s="41" t="n">
        <v>604359</v>
      </c>
      <c r="I370" s="42" t="n">
        <v>1.07530457890095</v>
      </c>
      <c r="J370" s="41" t="n">
        <v>71386</v>
      </c>
      <c r="K370" s="41" t="n">
        <v>578484</v>
      </c>
    </row>
    <row r="371" customFormat="false" ht="15" hidden="false" customHeight="false" outlineLevel="0" collapsed="false">
      <c r="A371" s="43" t="s">
        <v>41</v>
      </c>
      <c r="B371" s="43" t="s">
        <v>27</v>
      </c>
      <c r="C371" s="43" t="s">
        <v>59</v>
      </c>
      <c r="D371" s="43" t="s">
        <v>53</v>
      </c>
      <c r="E371" s="44" t="n">
        <v>189</v>
      </c>
      <c r="F371" s="44" t="n">
        <v>2499</v>
      </c>
      <c r="G371" s="45" t="n">
        <v>472311</v>
      </c>
      <c r="H371" s="45" t="n">
        <v>1888186</v>
      </c>
      <c r="I371" s="46" t="n">
        <v>0.250140081538577</v>
      </c>
      <c r="J371" s="45" t="n">
        <v>161152</v>
      </c>
      <c r="K371" s="45" t="n">
        <v>311159</v>
      </c>
    </row>
    <row r="372" customFormat="false" ht="15" hidden="false" customHeight="false" outlineLevel="0" collapsed="false">
      <c r="A372" s="39" t="s">
        <v>41</v>
      </c>
      <c r="B372" s="39" t="s">
        <v>27</v>
      </c>
      <c r="C372" s="39" t="s">
        <v>59</v>
      </c>
      <c r="D372" s="39" t="s">
        <v>54</v>
      </c>
      <c r="E372" s="40" t="n">
        <v>298</v>
      </c>
      <c r="F372" s="40" t="n">
        <v>4999</v>
      </c>
      <c r="G372" s="41" t="n">
        <v>1489702</v>
      </c>
      <c r="H372" s="41" t="n">
        <v>1427033</v>
      </c>
      <c r="I372" s="42" t="n">
        <v>1.04391559270178</v>
      </c>
      <c r="J372" s="41" t="n">
        <v>158575</v>
      </c>
      <c r="K372" s="41" t="n">
        <v>1331127</v>
      </c>
    </row>
    <row r="373" customFormat="false" ht="15" hidden="false" customHeight="false" outlineLevel="0" collapsed="false">
      <c r="A373" s="43" t="s">
        <v>41</v>
      </c>
      <c r="B373" s="43" t="s">
        <v>27</v>
      </c>
      <c r="C373" s="43" t="s">
        <v>59</v>
      </c>
      <c r="D373" s="43" t="s">
        <v>55</v>
      </c>
      <c r="E373" s="44" t="n">
        <v>189</v>
      </c>
      <c r="F373" s="44" t="n">
        <v>999</v>
      </c>
      <c r="G373" s="45" t="n">
        <v>188811</v>
      </c>
      <c r="H373" s="45" t="n">
        <v>1574468</v>
      </c>
      <c r="I373" s="46" t="n">
        <v>0.11992050648219</v>
      </c>
      <c r="J373" s="45" t="n">
        <v>79836</v>
      </c>
      <c r="K373" s="45" t="n">
        <v>108975</v>
      </c>
    </row>
    <row r="374" customFormat="false" ht="15" hidden="false" customHeight="false" outlineLevel="0" collapsed="false">
      <c r="A374" s="39" t="s">
        <v>41</v>
      </c>
      <c r="B374" s="39" t="s">
        <v>27</v>
      </c>
      <c r="C374" s="39" t="s">
        <v>60</v>
      </c>
      <c r="D374" s="39" t="s">
        <v>52</v>
      </c>
      <c r="E374" s="40" t="n">
        <v>226</v>
      </c>
      <c r="F374" s="40" t="n">
        <v>2499</v>
      </c>
      <c r="G374" s="41" t="n">
        <v>564774</v>
      </c>
      <c r="H374" s="41" t="n">
        <v>732552</v>
      </c>
      <c r="I374" s="42" t="n">
        <v>0.770967794777709</v>
      </c>
      <c r="J374" s="41" t="n">
        <v>124251</v>
      </c>
      <c r="K374" s="41" t="n">
        <v>440523</v>
      </c>
    </row>
    <row r="375" customFormat="false" ht="15" hidden="false" customHeight="false" outlineLevel="0" collapsed="false">
      <c r="A375" s="43" t="s">
        <v>41</v>
      </c>
      <c r="B375" s="43" t="s">
        <v>27</v>
      </c>
      <c r="C375" s="43" t="s">
        <v>60</v>
      </c>
      <c r="D375" s="43" t="s">
        <v>53</v>
      </c>
      <c r="E375" s="44" t="n">
        <v>397</v>
      </c>
      <c r="F375" s="44" t="n">
        <v>4999</v>
      </c>
      <c r="G375" s="45" t="n">
        <v>1984603</v>
      </c>
      <c r="H375" s="45" t="n">
        <v>1520542</v>
      </c>
      <c r="I375" s="46" t="n">
        <v>1.30519446355313</v>
      </c>
      <c r="J375" s="45" t="n">
        <v>188132</v>
      </c>
      <c r="K375" s="45" t="n">
        <v>1796471</v>
      </c>
    </row>
    <row r="376" customFormat="false" ht="15" hidden="false" customHeight="false" outlineLevel="0" collapsed="false">
      <c r="A376" s="39" t="s">
        <v>41</v>
      </c>
      <c r="B376" s="39" t="s">
        <v>27</v>
      </c>
      <c r="C376" s="39" t="s">
        <v>60</v>
      </c>
      <c r="D376" s="39" t="s">
        <v>54</v>
      </c>
      <c r="E376" s="40" t="n">
        <v>391</v>
      </c>
      <c r="F376" s="40" t="n">
        <v>1499</v>
      </c>
      <c r="G376" s="41" t="n">
        <v>586109</v>
      </c>
      <c r="H376" s="41" t="n">
        <v>595247</v>
      </c>
      <c r="I376" s="42" t="n">
        <v>0.984648389660091</v>
      </c>
      <c r="J376" s="41" t="n">
        <v>107807</v>
      </c>
      <c r="K376" s="41" t="n">
        <v>478302</v>
      </c>
    </row>
    <row r="377" customFormat="false" ht="15" hidden="false" customHeight="false" outlineLevel="0" collapsed="false">
      <c r="A377" s="43" t="s">
        <v>41</v>
      </c>
      <c r="B377" s="43" t="s">
        <v>27</v>
      </c>
      <c r="C377" s="43" t="s">
        <v>60</v>
      </c>
      <c r="D377" s="43" t="s">
        <v>55</v>
      </c>
      <c r="E377" s="44" t="n">
        <v>252</v>
      </c>
      <c r="F377" s="44" t="n">
        <v>4999</v>
      </c>
      <c r="G377" s="45" t="n">
        <v>1259748</v>
      </c>
      <c r="H377" s="45" t="n">
        <v>614886</v>
      </c>
      <c r="I377" s="46" t="n">
        <v>2.0487505000927</v>
      </c>
      <c r="J377" s="45" t="n">
        <v>52015</v>
      </c>
      <c r="K377" s="45" t="n">
        <v>1207733</v>
      </c>
    </row>
    <row r="378" customFormat="false" ht="15" hidden="false" customHeight="false" outlineLevel="0" collapsed="false">
      <c r="A378" s="39" t="s">
        <v>41</v>
      </c>
      <c r="B378" s="39" t="s">
        <v>33</v>
      </c>
      <c r="C378" s="39" t="s">
        <v>61</v>
      </c>
      <c r="D378" s="39" t="s">
        <v>52</v>
      </c>
      <c r="E378" s="40" t="n">
        <v>154</v>
      </c>
      <c r="F378" s="40" t="n">
        <v>1499</v>
      </c>
      <c r="G378" s="41" t="n">
        <v>230846</v>
      </c>
      <c r="H378" s="41" t="n">
        <v>942989</v>
      </c>
      <c r="I378" s="42" t="n">
        <v>0.244802431417546</v>
      </c>
      <c r="J378" s="41" t="n">
        <v>85975</v>
      </c>
      <c r="K378" s="41" t="n">
        <v>144871</v>
      </c>
    </row>
    <row r="379" customFormat="false" ht="15" hidden="false" customHeight="false" outlineLevel="0" collapsed="false">
      <c r="A379" s="43" t="s">
        <v>41</v>
      </c>
      <c r="B379" s="43" t="s">
        <v>33</v>
      </c>
      <c r="C379" s="43" t="s">
        <v>61</v>
      </c>
      <c r="D379" s="43" t="s">
        <v>53</v>
      </c>
      <c r="E379" s="44" t="n">
        <v>180</v>
      </c>
      <c r="F379" s="44" t="n">
        <v>1499</v>
      </c>
      <c r="G379" s="45" t="n">
        <v>269820</v>
      </c>
      <c r="H379" s="45" t="n">
        <v>1188122</v>
      </c>
      <c r="I379" s="46" t="n">
        <v>0.22709789062066</v>
      </c>
      <c r="J379" s="45" t="n">
        <v>81453</v>
      </c>
      <c r="K379" s="45" t="n">
        <v>188367</v>
      </c>
    </row>
    <row r="380" customFormat="false" ht="15" hidden="false" customHeight="false" outlineLevel="0" collapsed="false">
      <c r="A380" s="39" t="s">
        <v>41</v>
      </c>
      <c r="B380" s="39" t="s">
        <v>33</v>
      </c>
      <c r="C380" s="39" t="s">
        <v>61</v>
      </c>
      <c r="D380" s="39" t="s">
        <v>54</v>
      </c>
      <c r="E380" s="40" t="n">
        <v>53</v>
      </c>
      <c r="F380" s="40" t="n">
        <v>2499</v>
      </c>
      <c r="G380" s="41" t="n">
        <v>132447</v>
      </c>
      <c r="H380" s="41" t="n">
        <v>1403149</v>
      </c>
      <c r="I380" s="42" t="n">
        <v>0.0943926838846053</v>
      </c>
      <c r="J380" s="41" t="n">
        <v>96057</v>
      </c>
      <c r="K380" s="41" t="n">
        <v>36390</v>
      </c>
    </row>
    <row r="381" customFormat="false" ht="15" hidden="false" customHeight="false" outlineLevel="0" collapsed="false">
      <c r="A381" s="43" t="s">
        <v>41</v>
      </c>
      <c r="B381" s="43" t="s">
        <v>33</v>
      </c>
      <c r="C381" s="43" t="s">
        <v>61</v>
      </c>
      <c r="D381" s="43" t="s">
        <v>55</v>
      </c>
      <c r="E381" s="44" t="n">
        <v>116</v>
      </c>
      <c r="F381" s="44" t="n">
        <v>2499</v>
      </c>
      <c r="G381" s="45" t="n">
        <v>289884</v>
      </c>
      <c r="H381" s="45" t="n">
        <v>1616906</v>
      </c>
      <c r="I381" s="46" t="n">
        <v>0.179283149422415</v>
      </c>
      <c r="J381" s="45" t="n">
        <v>110322</v>
      </c>
      <c r="K381" s="45" t="n">
        <v>179562</v>
      </c>
    </row>
    <row r="382" customFormat="false" ht="15" hidden="false" customHeight="false" outlineLevel="0" collapsed="false">
      <c r="A382" s="39" t="s">
        <v>41</v>
      </c>
      <c r="B382" s="39" t="s">
        <v>33</v>
      </c>
      <c r="C382" s="39" t="s">
        <v>62</v>
      </c>
      <c r="D382" s="39" t="s">
        <v>52</v>
      </c>
      <c r="E382" s="40" t="n">
        <v>306</v>
      </c>
      <c r="F382" s="40" t="n">
        <v>4999</v>
      </c>
      <c r="G382" s="41" t="n">
        <v>1529694</v>
      </c>
      <c r="H382" s="41" t="n">
        <v>1900998</v>
      </c>
      <c r="I382" s="42" t="n">
        <v>0.804679436801091</v>
      </c>
      <c r="J382" s="41" t="n">
        <v>142842</v>
      </c>
      <c r="K382" s="41" t="n">
        <v>1386852</v>
      </c>
    </row>
    <row r="383" customFormat="false" ht="15" hidden="false" customHeight="false" outlineLevel="0" collapsed="false">
      <c r="A383" s="43" t="s">
        <v>41</v>
      </c>
      <c r="B383" s="43" t="s">
        <v>33</v>
      </c>
      <c r="C383" s="43" t="s">
        <v>62</v>
      </c>
      <c r="D383" s="43" t="s">
        <v>53</v>
      </c>
      <c r="E383" s="44" t="n">
        <v>86</v>
      </c>
      <c r="F383" s="44" t="n">
        <v>2499</v>
      </c>
      <c r="G383" s="45" t="n">
        <v>214914</v>
      </c>
      <c r="H383" s="45" t="n">
        <v>588714</v>
      </c>
      <c r="I383" s="46" t="n">
        <v>0.365056716843833</v>
      </c>
      <c r="J383" s="45" t="n">
        <v>164352</v>
      </c>
      <c r="K383" s="45" t="n">
        <v>50562</v>
      </c>
    </row>
    <row r="384" customFormat="false" ht="15" hidden="false" customHeight="false" outlineLevel="0" collapsed="false">
      <c r="A384" s="39" t="s">
        <v>41</v>
      </c>
      <c r="B384" s="39" t="s">
        <v>33</v>
      </c>
      <c r="C384" s="39" t="s">
        <v>62</v>
      </c>
      <c r="D384" s="39" t="s">
        <v>54</v>
      </c>
      <c r="E384" s="40" t="n">
        <v>59</v>
      </c>
      <c r="F384" s="40" t="n">
        <v>2499</v>
      </c>
      <c r="G384" s="41" t="n">
        <v>147441</v>
      </c>
      <c r="H384" s="41" t="n">
        <v>663289</v>
      </c>
      <c r="I384" s="42" t="n">
        <v>0.222287720737115</v>
      </c>
      <c r="J384" s="41" t="n">
        <v>132066</v>
      </c>
      <c r="K384" s="41" t="n">
        <v>15375</v>
      </c>
    </row>
    <row r="385" customFormat="false" ht="15" hidden="false" customHeight="false" outlineLevel="0" collapsed="false">
      <c r="A385" s="43" t="s">
        <v>41</v>
      </c>
      <c r="B385" s="43" t="s">
        <v>33</v>
      </c>
      <c r="C385" s="43" t="s">
        <v>62</v>
      </c>
      <c r="D385" s="43" t="s">
        <v>55</v>
      </c>
      <c r="E385" s="44" t="n">
        <v>344</v>
      </c>
      <c r="F385" s="44" t="n">
        <v>2499</v>
      </c>
      <c r="G385" s="45" t="n">
        <v>859656</v>
      </c>
      <c r="H385" s="45" t="n">
        <v>1702506</v>
      </c>
      <c r="I385" s="46" t="n">
        <v>0.504935665424968</v>
      </c>
      <c r="J385" s="45" t="n">
        <v>156017</v>
      </c>
      <c r="K385" s="45" t="n">
        <v>703639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5"/>
    <col collapsed="false" customWidth="true" hidden="false" outlineLevel="0" max="9" min="9" style="0" width="14"/>
  </cols>
  <sheetData>
    <row r="1" customFormat="false" ht="36" hidden="false" customHeight="true" outlineLevel="0" collapsed="false">
      <c r="A1" s="47" t="s">
        <v>63</v>
      </c>
      <c r="B1" s="47"/>
      <c r="C1" s="47"/>
      <c r="D1" s="47"/>
      <c r="E1" s="47"/>
      <c r="F1" s="47"/>
      <c r="G1" s="47"/>
      <c r="H1" s="47"/>
      <c r="I1" s="47"/>
    </row>
    <row r="2" customFormat="false" ht="18" hidden="false" customHeight="true" outlineLevel="0" collapsed="false">
      <c r="A2" s="48" t="s">
        <v>64</v>
      </c>
      <c r="B2" s="48"/>
      <c r="C2" s="48"/>
      <c r="D2" s="48"/>
      <c r="E2" s="48"/>
      <c r="F2" s="48"/>
      <c r="G2" s="48"/>
      <c r="H2" s="48"/>
      <c r="I2" s="48"/>
    </row>
    <row r="4" customFormat="false" ht="21.75" hidden="false" customHeight="true" outlineLevel="0" collapsed="false">
      <c r="A4" s="49" t="s">
        <v>18</v>
      </c>
      <c r="B4" s="49" t="s">
        <v>46</v>
      </c>
      <c r="C4" s="49" t="s">
        <v>47</v>
      </c>
      <c r="D4" s="49" t="s">
        <v>21</v>
      </c>
      <c r="E4" s="49" t="s">
        <v>44</v>
      </c>
      <c r="F4" s="49" t="s">
        <v>49</v>
      </c>
      <c r="G4" s="49" t="s">
        <v>50</v>
      </c>
      <c r="H4" s="49" t="s">
        <v>65</v>
      </c>
      <c r="I4" s="49" t="s">
        <v>66</v>
      </c>
    </row>
    <row r="5" customFormat="false" ht="15" hidden="false" customHeight="false" outlineLevel="0" collapsed="false">
      <c r="A5" s="50" t="s">
        <v>26</v>
      </c>
      <c r="B5" s="51" t="n">
        <v>13830106</v>
      </c>
      <c r="C5" s="51" t="n">
        <v>39107602</v>
      </c>
      <c r="D5" s="52" t="n">
        <v>0.353642394130942</v>
      </c>
      <c r="E5" s="53" t="n">
        <v>7242</v>
      </c>
      <c r="F5" s="51" t="n">
        <v>4018521</v>
      </c>
      <c r="G5" s="51" t="n">
        <v>9811585</v>
      </c>
      <c r="H5" s="52" t="n">
        <v>0.709436717260157</v>
      </c>
      <c r="I5" s="52"/>
    </row>
    <row r="6" customFormat="false" ht="15" hidden="false" customHeight="false" outlineLevel="0" collapsed="false">
      <c r="A6" s="54" t="s">
        <v>28</v>
      </c>
      <c r="B6" s="55" t="n">
        <v>17374718</v>
      </c>
      <c r="C6" s="55" t="n">
        <v>37861343</v>
      </c>
      <c r="D6" s="56" t="n">
        <v>0.458903901005308</v>
      </c>
      <c r="E6" s="57" t="n">
        <v>7731</v>
      </c>
      <c r="F6" s="55" t="n">
        <v>4070956</v>
      </c>
      <c r="G6" s="55" t="n">
        <v>13303762</v>
      </c>
      <c r="H6" s="56" t="n">
        <v>0.765696571305503</v>
      </c>
      <c r="I6" s="56" t="n">
        <v>0.256296806401918</v>
      </c>
    </row>
    <row r="7" customFormat="false" ht="15" hidden="false" customHeight="false" outlineLevel="0" collapsed="false">
      <c r="A7" s="50" t="s">
        <v>30</v>
      </c>
      <c r="B7" s="51" t="n">
        <v>17025730</v>
      </c>
      <c r="C7" s="51" t="n">
        <v>38247090</v>
      </c>
      <c r="D7" s="52" t="n">
        <v>0.445150990572093</v>
      </c>
      <c r="E7" s="53" t="n">
        <v>7724</v>
      </c>
      <c r="F7" s="51" t="n">
        <v>3493018</v>
      </c>
      <c r="G7" s="51" t="n">
        <v>13532712</v>
      </c>
      <c r="H7" s="52" t="n">
        <v>0.79483887034506</v>
      </c>
      <c r="I7" s="52" t="n">
        <v>-0.0200859662873377</v>
      </c>
    </row>
    <row r="8" customFormat="false" ht="15" hidden="false" customHeight="false" outlineLevel="0" collapsed="false">
      <c r="A8" s="54" t="s">
        <v>32</v>
      </c>
      <c r="B8" s="55" t="n">
        <v>14874430</v>
      </c>
      <c r="C8" s="55" t="n">
        <v>40903223</v>
      </c>
      <c r="D8" s="56" t="n">
        <v>0.36364933883083</v>
      </c>
      <c r="E8" s="57" t="n">
        <v>6737</v>
      </c>
      <c r="F8" s="55" t="n">
        <v>4002241</v>
      </c>
      <c r="G8" s="55" t="n">
        <v>10872189</v>
      </c>
      <c r="H8" s="56" t="n">
        <v>0.73093147098746</v>
      </c>
      <c r="I8" s="56" t="n">
        <v>-0.126355815580301</v>
      </c>
    </row>
    <row r="9" customFormat="false" ht="15" hidden="false" customHeight="false" outlineLevel="0" collapsed="false">
      <c r="A9" s="50" t="s">
        <v>34</v>
      </c>
      <c r="B9" s="51" t="n">
        <v>15586311</v>
      </c>
      <c r="C9" s="51" t="n">
        <v>44422939</v>
      </c>
      <c r="D9" s="52" t="n">
        <v>0.350861769861737</v>
      </c>
      <c r="E9" s="53" t="n">
        <v>7229</v>
      </c>
      <c r="F9" s="51" t="n">
        <v>4150167</v>
      </c>
      <c r="G9" s="51" t="n">
        <v>11436144</v>
      </c>
      <c r="H9" s="52" t="n">
        <v>0.733730001922841</v>
      </c>
      <c r="I9" s="52" t="n">
        <v>0.0478593801577607</v>
      </c>
    </row>
    <row r="10" customFormat="false" ht="15" hidden="false" customHeight="false" outlineLevel="0" collapsed="false">
      <c r="A10" s="54" t="s">
        <v>35</v>
      </c>
      <c r="B10" s="55" t="n">
        <v>12262960</v>
      </c>
      <c r="C10" s="55" t="n">
        <v>41811761</v>
      </c>
      <c r="D10" s="56" t="n">
        <v>0.293289727739523</v>
      </c>
      <c r="E10" s="57" t="n">
        <v>7624</v>
      </c>
      <c r="F10" s="55" t="n">
        <v>3954860</v>
      </c>
      <c r="G10" s="55" t="n">
        <v>8308100</v>
      </c>
      <c r="H10" s="56" t="n">
        <v>0.67749548233053</v>
      </c>
      <c r="I10" s="56" t="n">
        <v>-0.213222423189169</v>
      </c>
    </row>
    <row r="11" customFormat="false" ht="15" hidden="false" customHeight="false" outlineLevel="0" collapsed="false">
      <c r="A11" s="50" t="s">
        <v>36</v>
      </c>
      <c r="B11" s="51" t="n">
        <v>18462338</v>
      </c>
      <c r="C11" s="51" t="n">
        <v>39843393</v>
      </c>
      <c r="D11" s="52" t="n">
        <v>0.463372634956064</v>
      </c>
      <c r="E11" s="53" t="n">
        <v>7112</v>
      </c>
      <c r="F11" s="51" t="n">
        <v>3731919</v>
      </c>
      <c r="G11" s="51" t="n">
        <v>14730419</v>
      </c>
      <c r="H11" s="52" t="n">
        <v>0.797863141710438</v>
      </c>
      <c r="I11" s="52" t="n">
        <v>0.505536836130918</v>
      </c>
    </row>
    <row r="12" customFormat="false" ht="15" hidden="false" customHeight="false" outlineLevel="0" collapsed="false">
      <c r="A12" s="54" t="s">
        <v>37</v>
      </c>
      <c r="B12" s="55" t="n">
        <v>19783721</v>
      </c>
      <c r="C12" s="55" t="n">
        <v>38216231</v>
      </c>
      <c r="D12" s="56" t="n">
        <v>0.517678496343609</v>
      </c>
      <c r="E12" s="57" t="n">
        <v>8463</v>
      </c>
      <c r="F12" s="55" t="n">
        <v>3890666</v>
      </c>
      <c r="G12" s="55" t="n">
        <v>15893055</v>
      </c>
      <c r="H12" s="56" t="n">
        <v>0.803340028905584</v>
      </c>
      <c r="I12" s="56" t="n">
        <v>0.0715718128440721</v>
      </c>
    </row>
    <row r="13" customFormat="false" ht="15" hidden="false" customHeight="false" outlineLevel="0" collapsed="false">
      <c r="A13" s="50" t="s">
        <v>38</v>
      </c>
      <c r="B13" s="51" t="n">
        <v>14458921</v>
      </c>
      <c r="C13" s="51" t="n">
        <v>44394420</v>
      </c>
      <c r="D13" s="52" t="n">
        <v>0.325692305474427</v>
      </c>
      <c r="E13" s="53" t="n">
        <v>7381</v>
      </c>
      <c r="F13" s="51" t="n">
        <v>4031580</v>
      </c>
      <c r="G13" s="51" t="n">
        <v>10427341</v>
      </c>
      <c r="H13" s="52" t="n">
        <v>0.721170065179829</v>
      </c>
      <c r="I13" s="52" t="n">
        <v>-0.26915058092459</v>
      </c>
    </row>
    <row r="14" customFormat="false" ht="15" hidden="false" customHeight="false" outlineLevel="0" collapsed="false">
      <c r="A14" s="54" t="s">
        <v>39</v>
      </c>
      <c r="B14" s="55" t="n">
        <v>14184098</v>
      </c>
      <c r="C14" s="55" t="n">
        <v>42574981</v>
      </c>
      <c r="D14" s="56" t="n">
        <v>0.33315570945293</v>
      </c>
      <c r="E14" s="57" t="n">
        <v>7534</v>
      </c>
      <c r="F14" s="55" t="n">
        <v>4060669</v>
      </c>
      <c r="G14" s="55" t="n">
        <v>10123429</v>
      </c>
      <c r="H14" s="56" t="n">
        <v>0.713716797500976</v>
      </c>
      <c r="I14" s="56" t="n">
        <v>-0.0190071582796531</v>
      </c>
    </row>
    <row r="15" customFormat="false" ht="15" hidden="false" customHeight="false" outlineLevel="0" collapsed="false">
      <c r="A15" s="50" t="s">
        <v>40</v>
      </c>
      <c r="B15" s="51" t="n">
        <v>13809449</v>
      </c>
      <c r="C15" s="51" t="n">
        <v>36236684</v>
      </c>
      <c r="D15" s="52" t="n">
        <v>0.381090306165984</v>
      </c>
      <c r="E15" s="53" t="n">
        <v>7205</v>
      </c>
      <c r="F15" s="51" t="n">
        <v>4068949</v>
      </c>
      <c r="G15" s="51" t="n">
        <v>9740500</v>
      </c>
      <c r="H15" s="52" t="n">
        <v>0.705350372777364</v>
      </c>
      <c r="I15" s="52" t="n">
        <v>-0.0264133115831546</v>
      </c>
    </row>
    <row r="16" customFormat="false" ht="15" hidden="false" customHeight="false" outlineLevel="0" collapsed="false">
      <c r="A16" s="54" t="s">
        <v>41</v>
      </c>
      <c r="B16" s="55" t="n">
        <v>16281210</v>
      </c>
      <c r="C16" s="55" t="n">
        <v>41458521</v>
      </c>
      <c r="D16" s="56" t="n">
        <v>0.392710825357229</v>
      </c>
      <c r="E16" s="57" t="n">
        <v>6277</v>
      </c>
      <c r="F16" s="55" t="n">
        <v>4156699</v>
      </c>
      <c r="G16" s="55" t="n">
        <v>12124511</v>
      </c>
      <c r="H16" s="56" t="n">
        <v>0.7446934840838</v>
      </c>
      <c r="I16" s="56" t="n">
        <v>0.178990559290237</v>
      </c>
    </row>
    <row r="17" customFormat="false" ht="15" hidden="false" customHeight="false" outlineLevel="0" collapsed="false">
      <c r="A17" s="58" t="s">
        <v>67</v>
      </c>
      <c r="B17" s="59" t="n">
        <f aca="false">SUM(B5:B16)</f>
        <v>187933992</v>
      </c>
      <c r="C17" s="59" t="n">
        <f aca="false">SUM(C5:C16)</f>
        <v>485078188</v>
      </c>
      <c r="D17" s="60" t="n">
        <f aca="false">B17/C17</f>
        <v>0.387430308451635</v>
      </c>
      <c r="E17" s="61" t="n">
        <f aca="false">SUM(E5:E16)</f>
        <v>88259</v>
      </c>
      <c r="F17" s="59" t="n">
        <f aca="false">SUM(F5:F16)</f>
        <v>47630245</v>
      </c>
      <c r="G17" s="59" t="n">
        <f aca="false">SUM(G5:G16)</f>
        <v>140303747</v>
      </c>
      <c r="H17" s="60" t="n">
        <f aca="false">G17/B17</f>
        <v>0.746558648102361</v>
      </c>
      <c r="I17" s="58"/>
    </row>
  </sheetData>
  <mergeCells count="2">
    <mergeCell ref="A1:I1"/>
    <mergeCell ref="A2:I2"/>
  </mergeCells>
  <conditionalFormatting sqref="D5:D16">
    <cfRule type="colorScale" priority="2">
      <colorScale>
        <cfvo type="min" val="0"/>
        <cfvo type="percentile" val="50"/>
        <cfvo type="max" val="0"/>
        <color rgb="FFEF4444"/>
        <color rgb="FFF59E0B"/>
        <color rgb="FF22C55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5"/>
  </cols>
  <sheetData>
    <row r="1" customFormat="false" ht="36" hidden="false" customHeight="true" outlineLevel="0" collapsed="false">
      <c r="A1" s="47" t="s">
        <v>68</v>
      </c>
      <c r="B1" s="47"/>
      <c r="C1" s="47"/>
      <c r="D1" s="47"/>
      <c r="E1" s="47"/>
      <c r="F1" s="47"/>
      <c r="G1" s="47"/>
      <c r="H1" s="47"/>
    </row>
    <row r="2" customFormat="false" ht="18" hidden="false" customHeight="true" outlineLevel="0" collapsed="false">
      <c r="A2" s="48" t="s">
        <v>69</v>
      </c>
      <c r="B2" s="48"/>
      <c r="C2" s="48"/>
      <c r="D2" s="48"/>
      <c r="E2" s="48"/>
      <c r="F2" s="48"/>
      <c r="G2" s="48"/>
      <c r="H2" s="48"/>
    </row>
    <row r="4" customFormat="false" ht="15" hidden="false" customHeight="false" outlineLevel="0" collapsed="false">
      <c r="A4" s="49" t="s">
        <v>25</v>
      </c>
      <c r="B4" s="49" t="s">
        <v>46</v>
      </c>
      <c r="C4" s="49" t="s">
        <v>47</v>
      </c>
      <c r="D4" s="49" t="s">
        <v>21</v>
      </c>
      <c r="E4" s="49" t="s">
        <v>44</v>
      </c>
      <c r="F4" s="49" t="s">
        <v>49</v>
      </c>
      <c r="G4" s="49" t="s">
        <v>50</v>
      </c>
      <c r="H4" s="49" t="s">
        <v>65</v>
      </c>
    </row>
    <row r="5" customFormat="false" ht="15" hidden="false" customHeight="false" outlineLevel="0" collapsed="false">
      <c r="A5" s="62" t="s">
        <v>27</v>
      </c>
      <c r="B5" s="51" t="n">
        <v>50750453</v>
      </c>
      <c r="C5" s="51" t="n">
        <v>120904785</v>
      </c>
      <c r="D5" s="52" t="n">
        <v>0.419755537384232</v>
      </c>
      <c r="E5" s="53" t="n">
        <v>23093</v>
      </c>
      <c r="F5" s="51" t="n">
        <v>11872925</v>
      </c>
      <c r="G5" s="51" t="n">
        <v>38877528</v>
      </c>
      <c r="H5" s="52" t="n">
        <v>0.766052827154075</v>
      </c>
    </row>
    <row r="6" customFormat="false" ht="15" hidden="false" customHeight="false" outlineLevel="0" collapsed="false">
      <c r="A6" s="63" t="s">
        <v>29</v>
      </c>
      <c r="B6" s="55" t="n">
        <v>49112161</v>
      </c>
      <c r="C6" s="55" t="n">
        <v>122547577</v>
      </c>
      <c r="D6" s="56" t="n">
        <v>0.400759951377904</v>
      </c>
      <c r="E6" s="57" t="n">
        <v>21463</v>
      </c>
      <c r="F6" s="55" t="n">
        <v>11985678</v>
      </c>
      <c r="G6" s="55" t="n">
        <v>37126483</v>
      </c>
      <c r="H6" s="56" t="n">
        <v>0.755952950227541</v>
      </c>
    </row>
    <row r="7" customFormat="false" ht="15" hidden="false" customHeight="false" outlineLevel="0" collapsed="false">
      <c r="A7" s="64" t="s">
        <v>31</v>
      </c>
      <c r="B7" s="51" t="n">
        <v>40462753</v>
      </c>
      <c r="C7" s="51" t="n">
        <v>118744399</v>
      </c>
      <c r="D7" s="52" t="n">
        <v>0.340755044791628</v>
      </c>
      <c r="E7" s="53" t="n">
        <v>21773</v>
      </c>
      <c r="F7" s="51" t="n">
        <v>11263677</v>
      </c>
      <c r="G7" s="51" t="n">
        <v>29199076</v>
      </c>
      <c r="H7" s="52" t="n">
        <v>0.721628506097942</v>
      </c>
    </row>
    <row r="8" customFormat="false" ht="15" hidden="false" customHeight="false" outlineLevel="0" collapsed="false">
      <c r="A8" s="65" t="s">
        <v>33</v>
      </c>
      <c r="B8" s="55" t="n">
        <v>47608625</v>
      </c>
      <c r="C8" s="55" t="n">
        <v>122881427</v>
      </c>
      <c r="D8" s="56" t="n">
        <v>0.387435482825244</v>
      </c>
      <c r="E8" s="57" t="n">
        <v>21930</v>
      </c>
      <c r="F8" s="55" t="n">
        <v>12507965</v>
      </c>
      <c r="G8" s="55" t="n">
        <v>35100660</v>
      </c>
      <c r="H8" s="56" t="n">
        <v>0.737275231116211</v>
      </c>
    </row>
    <row r="9" customFormat="false" ht="15" hidden="false" customHeight="false" outlineLevel="0" collapsed="false">
      <c r="A9" s="58" t="s">
        <v>67</v>
      </c>
      <c r="B9" s="59" t="n">
        <f aca="false">SUM(B5:B8)</f>
        <v>187933992</v>
      </c>
      <c r="C9" s="59" t="n">
        <f aca="false">SUM(C5:C8)</f>
        <v>485078188</v>
      </c>
      <c r="D9" s="60" t="n">
        <f aca="false">B9/C9</f>
        <v>0.387430308451635</v>
      </c>
      <c r="E9" s="61" t="n">
        <f aca="false">SUM(E5:E8)</f>
        <v>88259</v>
      </c>
      <c r="F9" s="59" t="n">
        <f aca="false">SUM(F5:F8)</f>
        <v>47630245</v>
      </c>
      <c r="G9" s="59" t="n">
        <f aca="false">SUM(G5:G8)</f>
        <v>140303747</v>
      </c>
      <c r="H9" s="60" t="n">
        <f aca="false">G9/B9</f>
        <v>0.746558648102361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7" min="5" style="0" width="16"/>
  </cols>
  <sheetData>
    <row r="1" customFormat="false" ht="36" hidden="false" customHeight="true" outlineLevel="0" collapsed="false">
      <c r="A1" s="47" t="s">
        <v>70</v>
      </c>
      <c r="B1" s="47"/>
      <c r="C1" s="47"/>
      <c r="D1" s="47"/>
      <c r="E1" s="47"/>
      <c r="F1" s="47"/>
      <c r="G1" s="47"/>
    </row>
    <row r="2" customFormat="false" ht="18" hidden="false" customHeight="true" outlineLevel="0" collapsed="false">
      <c r="A2" s="48" t="s">
        <v>71</v>
      </c>
      <c r="B2" s="48"/>
      <c r="C2" s="48"/>
      <c r="D2" s="48"/>
      <c r="E2" s="48"/>
      <c r="F2" s="48"/>
      <c r="G2" s="48"/>
    </row>
    <row r="4" customFormat="false" ht="15" hidden="false" customHeight="false" outlineLevel="0" collapsed="false">
      <c r="A4" s="49" t="s">
        <v>43</v>
      </c>
      <c r="B4" s="49" t="s">
        <v>46</v>
      </c>
      <c r="C4" s="49" t="s">
        <v>44</v>
      </c>
      <c r="D4" s="49" t="s">
        <v>72</v>
      </c>
      <c r="E4" s="49" t="s">
        <v>49</v>
      </c>
      <c r="F4" s="49" t="s">
        <v>50</v>
      </c>
      <c r="G4" s="49" t="s">
        <v>65</v>
      </c>
    </row>
    <row r="5" customFormat="false" ht="15" hidden="false" customHeight="false" outlineLevel="0" collapsed="false">
      <c r="A5" s="66" t="s">
        <v>52</v>
      </c>
      <c r="B5" s="51" t="n">
        <v>44224918</v>
      </c>
      <c r="C5" s="53" t="n">
        <v>22174</v>
      </c>
      <c r="D5" s="51" t="n">
        <v>1994.44926490484</v>
      </c>
      <c r="E5" s="51" t="n">
        <v>12118324</v>
      </c>
      <c r="F5" s="51" t="n">
        <v>32106594</v>
      </c>
      <c r="G5" s="52" t="n">
        <v>0.725984251683632</v>
      </c>
    </row>
    <row r="6" customFormat="false" ht="15" hidden="false" customHeight="false" outlineLevel="0" collapsed="false">
      <c r="A6" s="67" t="s">
        <v>53</v>
      </c>
      <c r="B6" s="55" t="n">
        <v>51792878</v>
      </c>
      <c r="C6" s="57" t="n">
        <v>22817</v>
      </c>
      <c r="D6" s="55" t="n">
        <v>2269.92496822545</v>
      </c>
      <c r="E6" s="55" t="n">
        <v>11397426</v>
      </c>
      <c r="F6" s="55" t="n">
        <v>40395452</v>
      </c>
      <c r="G6" s="56" t="n">
        <v>0.779942215221174</v>
      </c>
    </row>
    <row r="7" customFormat="false" ht="15" hidden="false" customHeight="false" outlineLevel="0" collapsed="false">
      <c r="A7" s="68" t="s">
        <v>54</v>
      </c>
      <c r="B7" s="51" t="n">
        <v>48276413</v>
      </c>
      <c r="C7" s="53" t="n">
        <v>21758</v>
      </c>
      <c r="D7" s="51" t="n">
        <v>2218.78908907069</v>
      </c>
      <c r="E7" s="51" t="n">
        <v>12028058</v>
      </c>
      <c r="F7" s="51" t="n">
        <v>36248355</v>
      </c>
      <c r="G7" s="52" t="n">
        <v>0.750850213332958</v>
      </c>
    </row>
    <row r="8" customFormat="false" ht="15" hidden="false" customHeight="false" outlineLevel="0" collapsed="false">
      <c r="A8" s="69" t="s">
        <v>55</v>
      </c>
      <c r="B8" s="55" t="n">
        <v>43639783</v>
      </c>
      <c r="C8" s="57" t="n">
        <v>21510</v>
      </c>
      <c r="D8" s="55" t="n">
        <v>2028.81371455137</v>
      </c>
      <c r="E8" s="55" t="n">
        <v>12086437</v>
      </c>
      <c r="F8" s="55" t="n">
        <v>31553346</v>
      </c>
      <c r="G8" s="56" t="n">
        <v>0.723040854717357</v>
      </c>
    </row>
    <row r="9" customFormat="false" ht="15" hidden="false" customHeight="false" outlineLevel="0" collapsed="false">
      <c r="A9" s="58" t="s">
        <v>67</v>
      </c>
      <c r="B9" s="59" t="n">
        <f aca="false">SUM(B5:B8)</f>
        <v>187933992</v>
      </c>
      <c r="C9" s="61" t="n">
        <f aca="false">SUM(C5:C8)</f>
        <v>88259</v>
      </c>
      <c r="D9" s="59" t="n">
        <f aca="false">B9/C9</f>
        <v>2129.34649157593</v>
      </c>
      <c r="E9" s="59" t="n">
        <f aca="false">SUM(E5:E8)</f>
        <v>47630245</v>
      </c>
      <c r="F9" s="59" t="n">
        <f aca="false">SUM(F5:F8)</f>
        <v>140303747</v>
      </c>
      <c r="G9" s="60" t="n">
        <f aca="false">F9/B9</f>
        <v>0.746558648102361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36" hidden="false" customHeight="true" outlineLevel="0" collapsed="false">
      <c r="A1" s="47" t="s">
        <v>73</v>
      </c>
      <c r="B1" s="47"/>
      <c r="C1" s="47"/>
      <c r="D1" s="47"/>
      <c r="E1" s="47"/>
      <c r="F1" s="47"/>
      <c r="G1" s="47"/>
      <c r="H1" s="47"/>
    </row>
    <row r="2" customFormat="false" ht="18" hidden="false" customHeight="true" outlineLevel="0" collapsed="false">
      <c r="A2" s="48" t="s">
        <v>74</v>
      </c>
      <c r="B2" s="48"/>
      <c r="C2" s="48"/>
      <c r="D2" s="48"/>
      <c r="E2" s="48"/>
      <c r="F2" s="48"/>
      <c r="G2" s="48"/>
      <c r="H2" s="48"/>
    </row>
    <row r="4" customFormat="false" ht="15" hidden="false" customHeight="false" outlineLevel="0" collapsed="false">
      <c r="A4" s="49" t="s">
        <v>75</v>
      </c>
      <c r="B4" s="49" t="s">
        <v>42</v>
      </c>
      <c r="C4" s="49" t="s">
        <v>25</v>
      </c>
      <c r="D4" s="49" t="s">
        <v>46</v>
      </c>
      <c r="E4" s="49" t="s">
        <v>47</v>
      </c>
      <c r="F4" s="49" t="s">
        <v>21</v>
      </c>
      <c r="G4" s="49" t="s">
        <v>44</v>
      </c>
      <c r="H4" s="49" t="s">
        <v>50</v>
      </c>
    </row>
    <row r="5" customFormat="false" ht="15" hidden="false" customHeight="false" outlineLevel="0" collapsed="false">
      <c r="A5" s="70" t="n">
        <v>1</v>
      </c>
      <c r="B5" s="71" t="s">
        <v>61</v>
      </c>
      <c r="C5" s="71" t="s">
        <v>33</v>
      </c>
      <c r="D5" s="72" t="n">
        <v>27579253</v>
      </c>
      <c r="E5" s="72" t="n">
        <v>59095081</v>
      </c>
      <c r="F5" s="73" t="n">
        <v>0.466692870765335</v>
      </c>
      <c r="G5" s="70" t="n">
        <v>10801</v>
      </c>
      <c r="H5" s="72" t="n">
        <v>21228651</v>
      </c>
    </row>
    <row r="6" customFormat="false" ht="15" hidden="false" customHeight="false" outlineLevel="0" collapsed="false">
      <c r="A6" s="74" t="n">
        <v>2</v>
      </c>
      <c r="B6" s="75" t="s">
        <v>60</v>
      </c>
      <c r="C6" s="75" t="s">
        <v>27</v>
      </c>
      <c r="D6" s="76" t="n">
        <v>26101777</v>
      </c>
      <c r="E6" s="76" t="n">
        <v>60729219</v>
      </c>
      <c r="F6" s="77" t="n">
        <v>0.429805906115802</v>
      </c>
      <c r="G6" s="74" t="n">
        <v>11119</v>
      </c>
      <c r="H6" s="76" t="n">
        <v>19807188</v>
      </c>
    </row>
    <row r="7" customFormat="false" ht="15" hidden="false" customHeight="false" outlineLevel="0" collapsed="false">
      <c r="A7" s="78" t="n">
        <v>3</v>
      </c>
      <c r="B7" s="79" t="s">
        <v>58</v>
      </c>
      <c r="C7" s="79" t="s">
        <v>31</v>
      </c>
      <c r="D7" s="80" t="n">
        <v>25827728</v>
      </c>
      <c r="E7" s="80" t="n">
        <v>59762800</v>
      </c>
      <c r="F7" s="81" t="n">
        <v>0.432170647961608</v>
      </c>
      <c r="G7" s="78" t="n">
        <v>11622</v>
      </c>
      <c r="H7" s="80" t="n">
        <v>20205132</v>
      </c>
    </row>
    <row r="8" customFormat="false" ht="15" hidden="false" customHeight="false" outlineLevel="0" collapsed="false">
      <c r="A8" s="57" t="n">
        <v>4</v>
      </c>
      <c r="B8" s="54" t="s">
        <v>56</v>
      </c>
      <c r="C8" s="54" t="s">
        <v>29</v>
      </c>
      <c r="D8" s="55" t="n">
        <v>24848387</v>
      </c>
      <c r="E8" s="55" t="n">
        <v>62774932</v>
      </c>
      <c r="F8" s="56" t="n">
        <v>0.395832957652587</v>
      </c>
      <c r="G8" s="57" t="n">
        <v>10951</v>
      </c>
      <c r="H8" s="55" t="n">
        <v>18716059</v>
      </c>
    </row>
    <row r="9" customFormat="false" ht="15" hidden="false" customHeight="false" outlineLevel="0" collapsed="false">
      <c r="A9" s="53" t="n">
        <v>5</v>
      </c>
      <c r="B9" s="50" t="s">
        <v>59</v>
      </c>
      <c r="C9" s="50" t="s">
        <v>27</v>
      </c>
      <c r="D9" s="51" t="n">
        <v>24648676</v>
      </c>
      <c r="E9" s="51" t="n">
        <v>60175566</v>
      </c>
      <c r="F9" s="52" t="n">
        <v>0.409612698948274</v>
      </c>
      <c r="G9" s="53" t="n">
        <v>11974</v>
      </c>
      <c r="H9" s="51" t="n">
        <v>19070340</v>
      </c>
    </row>
    <row r="10" customFormat="false" ht="15" hidden="false" customHeight="false" outlineLevel="0" collapsed="false">
      <c r="A10" s="57" t="n">
        <v>6</v>
      </c>
      <c r="B10" s="54" t="s">
        <v>51</v>
      </c>
      <c r="C10" s="54" t="s">
        <v>29</v>
      </c>
      <c r="D10" s="55" t="n">
        <v>24263774</v>
      </c>
      <c r="E10" s="55" t="n">
        <v>59772645</v>
      </c>
      <c r="F10" s="56" t="n">
        <v>0.40593442033559</v>
      </c>
      <c r="G10" s="57" t="n">
        <v>10512</v>
      </c>
      <c r="H10" s="55" t="n">
        <v>18410424</v>
      </c>
    </row>
    <row r="11" customFormat="false" ht="15" hidden="false" customHeight="false" outlineLevel="0" collapsed="false">
      <c r="A11" s="53" t="n">
        <v>7</v>
      </c>
      <c r="B11" s="50" t="s">
        <v>62</v>
      </c>
      <c r="C11" s="50" t="s">
        <v>33</v>
      </c>
      <c r="D11" s="51" t="n">
        <v>20029372</v>
      </c>
      <c r="E11" s="51" t="n">
        <v>63786346</v>
      </c>
      <c r="F11" s="52" t="n">
        <v>0.314007201478511</v>
      </c>
      <c r="G11" s="53" t="n">
        <v>11129</v>
      </c>
      <c r="H11" s="51" t="n">
        <v>13872009</v>
      </c>
    </row>
    <row r="12" customFormat="false" ht="15" hidden="false" customHeight="false" outlineLevel="0" collapsed="false">
      <c r="A12" s="57" t="n">
        <v>8</v>
      </c>
      <c r="B12" s="54" t="s">
        <v>57</v>
      </c>
      <c r="C12" s="54" t="s">
        <v>31</v>
      </c>
      <c r="D12" s="55" t="n">
        <v>14635025</v>
      </c>
      <c r="E12" s="55" t="n">
        <v>58981599</v>
      </c>
      <c r="F12" s="56" t="n">
        <v>0.248128657888709</v>
      </c>
      <c r="G12" s="57" t="n">
        <v>10151</v>
      </c>
      <c r="H12" s="55" t="n">
        <v>8993944</v>
      </c>
    </row>
    <row r="13" customFormat="false" ht="15" hidden="false" customHeight="false" outlineLevel="0" collapsed="false">
      <c r="A13" s="58"/>
      <c r="B13" s="58" t="s">
        <v>67</v>
      </c>
      <c r="C13" s="58"/>
      <c r="D13" s="59" t="n">
        <f aca="false">SUM(D5:D12)</f>
        <v>187933992</v>
      </c>
      <c r="E13" s="59" t="n">
        <f aca="false">SUM(E5:E12)</f>
        <v>485078188</v>
      </c>
      <c r="F13" s="60" t="n">
        <f aca="false">D13/E13</f>
        <v>0.387430308451635</v>
      </c>
      <c r="G13" s="61" t="n">
        <f aca="false">SUM(G5:G12)</f>
        <v>88259</v>
      </c>
      <c r="H13" s="59" t="n">
        <f aca="false">SUM(H5:H12)</f>
        <v>140303747</v>
      </c>
    </row>
  </sheetData>
  <mergeCells count="2">
    <mergeCell ref="A1:H1"/>
    <mergeCell ref="A2:H2"/>
  </mergeCells>
  <conditionalFormatting sqref="D5:D12">
    <cfRule type="dataBar" priority="2">
      <dataBar showValue="1" minLength="10" maxLength="90">
        <cfvo type="min" val="0"/>
        <cfvo type="max" val="0"/>
        <color rgb="FF00B4D8"/>
      </dataBar>
      <extLst>
        <ext xmlns:x14="http://schemas.microsoft.com/office/spreadsheetml/2009/9/main" uri="{B025F937-C7B1-47D3-B67F-A62EFF666E3E}">
          <x14:id>{101DDE68-A388-47D9-9D68-A0911260DB35}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1DDE68-A388-47D9-9D68-A0911260DB35}">
            <x14:dataBar minLength="10" maxLength="90" axisPosition="none" gradient="true">
              <x14:cfvo type="min"/>
              <x14:cfvo type="max"/>
              <x14:negativeFillColor rgb="FF00B4D8"/>
              <x14:axisColor rgb="FF000000"/>
            </x14:dataBar>
          </x14:cfRule>
          <xm:sqref>D5:D12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2026-04-05T14:39:41Z</dcterms:created>
  <dc:creator>openpyxl</dc:creator>
  <dc:description/>
  <dc:language>en-US</dc:language>
  <cp:lastModifiedBy/>
  <dcterms:modified xsi:type="dcterms:W3CDTF">2026-04-05T14:39:51Z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